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uthoritybrands-my.sharepoint.com/personal/rbowman_authoritybrandsllc_com/Documents/"/>
    </mc:Choice>
  </mc:AlternateContent>
  <xr:revisionPtr revIDLastSave="1599" documentId="8_{BC78C23E-454E-47BD-B35A-36A783E91D42}" xr6:coauthVersionLast="47" xr6:coauthVersionMax="47" xr10:uidLastSave="{F63029B3-1F56-4D84-B17F-0B7C2661D89A}"/>
  <bookViews>
    <workbookView minimized="1" xWindow="29715" yWindow="3570" windowWidth="21600" windowHeight="11295" activeTab="6" xr2:uid="{965B68A9-8B5A-428E-BC18-28143EE553C7}"/>
  </bookViews>
  <sheets>
    <sheet name="Savings &amp; RIs" sheetId="8" r:id="rId1"/>
    <sheet name="Sheet4" sheetId="7" state="hidden" r:id="rId2"/>
    <sheet name="Sheet1" sheetId="1" r:id="rId3"/>
    <sheet name="aws-spend" sheetId="3" r:id="rId4"/>
    <sheet name="Sheet2" sheetId="2" r:id="rId5"/>
    <sheet name="aws-spend-top-services" sheetId="4" r:id="rId6"/>
    <sheet name="Sheet3" sheetId="5" r:id="rId7"/>
    <sheet name="aws-spend-top-accounts" sheetId="6" r:id="rId8"/>
  </sheets>
  <definedNames>
    <definedName name="_xlnm._FilterDatabase" localSheetId="1" hidden="1">Sheet4!$A$1:$N$11</definedName>
    <definedName name="ExternalData_1" localSheetId="3" hidden="1">'aws-spend'!$A$1:$M$14</definedName>
    <definedName name="ExternalData_1" localSheetId="7" hidden="1">'aws-spend-top-accounts'!$A$1:$M$12</definedName>
    <definedName name="ExternalData_1" localSheetId="5" hidden="1">'aws-spend-top-services'!$A$1:$M$12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1" l="1"/>
  <c r="L14" i="1"/>
  <c r="K14" i="1"/>
  <c r="J14" i="1"/>
  <c r="I14" i="1"/>
  <c r="H14" i="1"/>
  <c r="G14" i="1"/>
  <c r="F14" i="1"/>
  <c r="E14" i="1"/>
  <c r="D14" i="1"/>
  <c r="C14" i="1"/>
  <c r="B14" i="1"/>
  <c r="B3" i="5" l="1"/>
  <c r="C3" i="5"/>
  <c r="D3" i="5"/>
  <c r="E3" i="5"/>
  <c r="F3" i="5"/>
  <c r="G3" i="5"/>
  <c r="H3" i="5"/>
  <c r="I3" i="5"/>
  <c r="J3" i="5"/>
  <c r="K3" i="5"/>
  <c r="L3" i="5"/>
  <c r="M3" i="5"/>
  <c r="B4" i="5"/>
  <c r="C4" i="5"/>
  <c r="D4" i="5"/>
  <c r="E4" i="5"/>
  <c r="F4" i="5"/>
  <c r="G4" i="5"/>
  <c r="H4" i="5"/>
  <c r="I4" i="5"/>
  <c r="J4" i="5"/>
  <c r="K4" i="5"/>
  <c r="L4" i="5"/>
  <c r="M4" i="5"/>
  <c r="B5" i="5"/>
  <c r="C5" i="5"/>
  <c r="D5" i="5"/>
  <c r="E5" i="5"/>
  <c r="F5" i="5"/>
  <c r="G5" i="5"/>
  <c r="H5" i="5"/>
  <c r="I5" i="5"/>
  <c r="J5" i="5"/>
  <c r="K5" i="5"/>
  <c r="L5" i="5"/>
  <c r="M5" i="5"/>
  <c r="B6" i="5"/>
  <c r="C6" i="5"/>
  <c r="D6" i="5"/>
  <c r="E6" i="5"/>
  <c r="F6" i="5"/>
  <c r="G6" i="5"/>
  <c r="H6" i="5"/>
  <c r="I6" i="5"/>
  <c r="J6" i="5"/>
  <c r="K6" i="5"/>
  <c r="L6" i="5"/>
  <c r="M6" i="5"/>
  <c r="B7" i="5"/>
  <c r="C7" i="5"/>
  <c r="D7" i="5"/>
  <c r="E7" i="5"/>
  <c r="F7" i="5"/>
  <c r="G7" i="5"/>
  <c r="H7" i="5"/>
  <c r="I7" i="5"/>
  <c r="J7" i="5"/>
  <c r="K7" i="5"/>
  <c r="L7" i="5"/>
  <c r="M7" i="5"/>
  <c r="B8" i="5"/>
  <c r="C8" i="5"/>
  <c r="D8" i="5"/>
  <c r="E8" i="5"/>
  <c r="F8" i="5"/>
  <c r="G8" i="5"/>
  <c r="H8" i="5"/>
  <c r="I8" i="5"/>
  <c r="J8" i="5"/>
  <c r="K8" i="5"/>
  <c r="L8" i="5"/>
  <c r="M8" i="5"/>
  <c r="B9" i="5"/>
  <c r="C9" i="5"/>
  <c r="D9" i="5"/>
  <c r="E9" i="5"/>
  <c r="F9" i="5"/>
  <c r="G9" i="5"/>
  <c r="H9" i="5"/>
  <c r="I9" i="5"/>
  <c r="J9" i="5"/>
  <c r="K9" i="5"/>
  <c r="L9" i="5"/>
  <c r="M9" i="5"/>
  <c r="B10" i="5"/>
  <c r="C10" i="5"/>
  <c r="D10" i="5"/>
  <c r="E10" i="5"/>
  <c r="F10" i="5"/>
  <c r="G10" i="5"/>
  <c r="H10" i="5"/>
  <c r="I10" i="5"/>
  <c r="J10" i="5"/>
  <c r="K10" i="5"/>
  <c r="L10" i="5"/>
  <c r="M10" i="5"/>
  <c r="B11" i="5"/>
  <c r="C11" i="5"/>
  <c r="D11" i="5"/>
  <c r="E11" i="5"/>
  <c r="F11" i="5"/>
  <c r="G11" i="5"/>
  <c r="H11" i="5"/>
  <c r="I11" i="5"/>
  <c r="J11" i="5"/>
  <c r="K11" i="5"/>
  <c r="L11" i="5"/>
  <c r="M11" i="5"/>
  <c r="M2" i="5"/>
  <c r="M1" i="5"/>
  <c r="L2" i="5"/>
  <c r="K2" i="5"/>
  <c r="J2" i="5"/>
  <c r="I2" i="5"/>
  <c r="H2" i="5"/>
  <c r="G2" i="5"/>
  <c r="F2" i="5"/>
  <c r="E2" i="5"/>
  <c r="D2" i="5"/>
  <c r="C2" i="5"/>
  <c r="B2" i="5"/>
  <c r="L1" i="5"/>
  <c r="B26" i="5" s="1"/>
  <c r="K1" i="5"/>
  <c r="J1" i="5"/>
  <c r="I1" i="5"/>
  <c r="H1" i="5"/>
  <c r="G1" i="5"/>
  <c r="F1" i="5"/>
  <c r="E1" i="5"/>
  <c r="D1" i="5"/>
  <c r="C1" i="5"/>
  <c r="B1" i="5"/>
  <c r="B3" i="2"/>
  <c r="C3" i="2"/>
  <c r="D3" i="2"/>
  <c r="E3" i="2"/>
  <c r="F3" i="2"/>
  <c r="G3" i="2"/>
  <c r="H3" i="2"/>
  <c r="I3" i="2"/>
  <c r="J3" i="2"/>
  <c r="K3" i="2"/>
  <c r="L3" i="2"/>
  <c r="M3" i="2"/>
  <c r="B4" i="2"/>
  <c r="C4" i="2"/>
  <c r="D4" i="2"/>
  <c r="E4" i="2"/>
  <c r="F4" i="2"/>
  <c r="G4" i="2"/>
  <c r="H4" i="2"/>
  <c r="I4" i="2"/>
  <c r="J4" i="2"/>
  <c r="K4" i="2"/>
  <c r="L4" i="2"/>
  <c r="M4" i="2"/>
  <c r="B5" i="2"/>
  <c r="C5" i="2"/>
  <c r="D5" i="2"/>
  <c r="E5" i="2"/>
  <c r="F5" i="2"/>
  <c r="G5" i="2"/>
  <c r="H5" i="2"/>
  <c r="I5" i="2"/>
  <c r="J5" i="2"/>
  <c r="K5" i="2"/>
  <c r="L5" i="2"/>
  <c r="M5" i="2"/>
  <c r="B6" i="2"/>
  <c r="C6" i="2"/>
  <c r="D6" i="2"/>
  <c r="E6" i="2"/>
  <c r="F6" i="2"/>
  <c r="G6" i="2"/>
  <c r="H6" i="2"/>
  <c r="I6" i="2"/>
  <c r="J6" i="2"/>
  <c r="K6" i="2"/>
  <c r="L6" i="2"/>
  <c r="M6" i="2"/>
  <c r="B7" i="2"/>
  <c r="C7" i="2"/>
  <c r="D7" i="2"/>
  <c r="E7" i="2"/>
  <c r="F7" i="2"/>
  <c r="G7" i="2"/>
  <c r="H7" i="2"/>
  <c r="I7" i="2"/>
  <c r="J7" i="2"/>
  <c r="K7" i="2"/>
  <c r="L7" i="2"/>
  <c r="M7" i="2"/>
  <c r="B8" i="2"/>
  <c r="C8" i="2"/>
  <c r="D8" i="2"/>
  <c r="E8" i="2"/>
  <c r="F8" i="2"/>
  <c r="G8" i="2"/>
  <c r="H8" i="2"/>
  <c r="I8" i="2"/>
  <c r="J8" i="2"/>
  <c r="K8" i="2"/>
  <c r="L8" i="2"/>
  <c r="M8" i="2"/>
  <c r="B9" i="2"/>
  <c r="C9" i="2"/>
  <c r="D9" i="2"/>
  <c r="E9" i="2"/>
  <c r="F9" i="2"/>
  <c r="G9" i="2"/>
  <c r="H9" i="2"/>
  <c r="I9" i="2"/>
  <c r="J9" i="2"/>
  <c r="K9" i="2"/>
  <c r="L9" i="2"/>
  <c r="M9" i="2"/>
  <c r="B10" i="2"/>
  <c r="C10" i="2"/>
  <c r="D10" i="2"/>
  <c r="E10" i="2"/>
  <c r="F10" i="2"/>
  <c r="G10" i="2"/>
  <c r="H10" i="2"/>
  <c r="I10" i="2"/>
  <c r="J10" i="2"/>
  <c r="K10" i="2"/>
  <c r="L10" i="2"/>
  <c r="M10" i="2"/>
  <c r="B11" i="2"/>
  <c r="C11" i="2"/>
  <c r="D11" i="2"/>
  <c r="E11" i="2"/>
  <c r="F11" i="2"/>
  <c r="G11" i="2"/>
  <c r="H11" i="2"/>
  <c r="I11" i="2"/>
  <c r="J11" i="2"/>
  <c r="K11" i="2"/>
  <c r="L11" i="2"/>
  <c r="M11" i="2"/>
  <c r="M2" i="2"/>
  <c r="M1" i="2"/>
  <c r="L2" i="2"/>
  <c r="K2" i="2"/>
  <c r="J2" i="2"/>
  <c r="I2" i="2"/>
  <c r="H2" i="2"/>
  <c r="G2" i="2"/>
  <c r="F2" i="2"/>
  <c r="E2" i="2"/>
  <c r="D2" i="2"/>
  <c r="C2" i="2"/>
  <c r="B2" i="2"/>
  <c r="L1" i="2"/>
  <c r="B26" i="2" s="1"/>
  <c r="K1" i="2"/>
  <c r="J1" i="2"/>
  <c r="I1" i="2"/>
  <c r="H1" i="2"/>
  <c r="G1" i="2"/>
  <c r="F1" i="2"/>
  <c r="E1" i="2"/>
  <c r="D1" i="2"/>
  <c r="C1" i="2"/>
  <c r="B1" i="2"/>
  <c r="B3" i="1"/>
  <c r="C3" i="1"/>
  <c r="D3" i="1"/>
  <c r="E3" i="1"/>
  <c r="F3" i="1"/>
  <c r="G3" i="1"/>
  <c r="H3" i="1"/>
  <c r="I3" i="1"/>
  <c r="J3" i="1"/>
  <c r="K3" i="1"/>
  <c r="L3" i="1"/>
  <c r="M3" i="1"/>
  <c r="C18" i="1" s="1"/>
  <c r="B4" i="1"/>
  <c r="C4" i="1"/>
  <c r="D4" i="1"/>
  <c r="E4" i="1"/>
  <c r="F4" i="1"/>
  <c r="G4" i="1"/>
  <c r="H4" i="1"/>
  <c r="I4" i="1"/>
  <c r="J4" i="1"/>
  <c r="K4" i="1"/>
  <c r="L4" i="1"/>
  <c r="M4" i="1"/>
  <c r="B5" i="1"/>
  <c r="C5" i="1"/>
  <c r="D5" i="1"/>
  <c r="E5" i="1"/>
  <c r="F5" i="1"/>
  <c r="G5" i="1"/>
  <c r="H5" i="1"/>
  <c r="I5" i="1"/>
  <c r="J5" i="1"/>
  <c r="K5" i="1"/>
  <c r="L5" i="1"/>
  <c r="M5" i="1"/>
  <c r="B6" i="1"/>
  <c r="C6" i="1"/>
  <c r="D6" i="1"/>
  <c r="E6" i="1"/>
  <c r="F6" i="1"/>
  <c r="G6" i="1"/>
  <c r="H6" i="1"/>
  <c r="I6" i="1"/>
  <c r="J6" i="1"/>
  <c r="K6" i="1"/>
  <c r="L6" i="1"/>
  <c r="B21" i="1" s="1"/>
  <c r="M6" i="1"/>
  <c r="C21" i="1" s="1"/>
  <c r="B7" i="1"/>
  <c r="C7" i="1"/>
  <c r="D7" i="1"/>
  <c r="E7" i="1"/>
  <c r="F7" i="1"/>
  <c r="G7" i="1"/>
  <c r="H7" i="1"/>
  <c r="I7" i="1"/>
  <c r="J7" i="1"/>
  <c r="K7" i="1"/>
  <c r="L7" i="1"/>
  <c r="M7" i="1"/>
  <c r="B8" i="1"/>
  <c r="C8" i="1"/>
  <c r="D8" i="1"/>
  <c r="E8" i="1"/>
  <c r="F8" i="1"/>
  <c r="G8" i="1"/>
  <c r="H8" i="1"/>
  <c r="I8" i="1"/>
  <c r="J8" i="1"/>
  <c r="K8" i="1"/>
  <c r="L8" i="1"/>
  <c r="M8" i="1"/>
  <c r="B9" i="1"/>
  <c r="C9" i="1"/>
  <c r="D9" i="1"/>
  <c r="E9" i="1"/>
  <c r="F9" i="1"/>
  <c r="G9" i="1"/>
  <c r="H9" i="1"/>
  <c r="I9" i="1"/>
  <c r="J9" i="1"/>
  <c r="K9" i="1"/>
  <c r="L9" i="1"/>
  <c r="M9" i="1"/>
  <c r="B10" i="1"/>
  <c r="C10" i="1"/>
  <c r="D10" i="1"/>
  <c r="E10" i="1"/>
  <c r="F10" i="1"/>
  <c r="G10" i="1"/>
  <c r="H10" i="1"/>
  <c r="I10" i="1"/>
  <c r="J10" i="1"/>
  <c r="K10" i="1"/>
  <c r="L10" i="1"/>
  <c r="B25" i="1" s="1"/>
  <c r="M10" i="1"/>
  <c r="C25" i="1" s="1"/>
  <c r="B11" i="1"/>
  <c r="C11" i="1"/>
  <c r="D11" i="1"/>
  <c r="E11" i="1"/>
  <c r="F11" i="1"/>
  <c r="G11" i="1"/>
  <c r="H11" i="1"/>
  <c r="I11" i="1"/>
  <c r="J11" i="1"/>
  <c r="K11" i="1"/>
  <c r="L11" i="1"/>
  <c r="B26" i="1" s="1"/>
  <c r="M11" i="1"/>
  <c r="C26" i="1" s="1"/>
  <c r="B12" i="1"/>
  <c r="C12" i="1"/>
  <c r="D12" i="1"/>
  <c r="E12" i="1"/>
  <c r="F12" i="1"/>
  <c r="G12" i="1"/>
  <c r="H12" i="1"/>
  <c r="I12" i="1"/>
  <c r="J12" i="1"/>
  <c r="K12" i="1"/>
  <c r="L12" i="1"/>
  <c r="M12" i="1"/>
  <c r="B13" i="1"/>
  <c r="C13" i="1"/>
  <c r="D13" i="1"/>
  <c r="E13" i="1"/>
  <c r="F13" i="1"/>
  <c r="G13" i="1"/>
  <c r="H13" i="1"/>
  <c r="I13" i="1"/>
  <c r="J13" i="1"/>
  <c r="K13" i="1"/>
  <c r="L13" i="1"/>
  <c r="M13" i="1"/>
  <c r="M2" i="1"/>
  <c r="M1" i="1"/>
  <c r="L2" i="1"/>
  <c r="K2" i="1"/>
  <c r="J2" i="1"/>
  <c r="I2" i="1"/>
  <c r="H2" i="1"/>
  <c r="G2" i="1"/>
  <c r="F2" i="1"/>
  <c r="E2" i="1"/>
  <c r="D2" i="1"/>
  <c r="C2" i="1"/>
  <c r="B2" i="1"/>
  <c r="L1" i="1"/>
  <c r="B31" i="1" s="1"/>
  <c r="K1" i="1"/>
  <c r="J1" i="1"/>
  <c r="I1" i="1"/>
  <c r="H1" i="1"/>
  <c r="G1" i="1"/>
  <c r="F1" i="1"/>
  <c r="E1" i="1"/>
  <c r="D1" i="1"/>
  <c r="C1" i="1"/>
  <c r="B1" i="1"/>
  <c r="C26" i="5"/>
  <c r="B19" i="1"/>
  <c r="C19" i="1"/>
  <c r="B20" i="1"/>
  <c r="C20" i="1"/>
  <c r="C22" i="1"/>
  <c r="B23" i="1"/>
  <c r="C23" i="1"/>
  <c r="B24" i="1"/>
  <c r="C24" i="1"/>
  <c r="B27" i="1"/>
  <c r="C27" i="1"/>
  <c r="F27" i="1" s="1"/>
  <c r="C28" i="1"/>
  <c r="A4" i="1"/>
  <c r="A19" i="1" s="1"/>
  <c r="A5" i="1"/>
  <c r="A20" i="1" s="1"/>
  <c r="A6" i="1"/>
  <c r="A21" i="1" s="1"/>
  <c r="A7" i="1"/>
  <c r="A22" i="1" s="1"/>
  <c r="B22" i="1"/>
  <c r="A8" i="1"/>
  <c r="A23" i="1" s="1"/>
  <c r="A9" i="1"/>
  <c r="A24" i="1" s="1"/>
  <c r="A10" i="1"/>
  <c r="A25" i="1" s="1"/>
  <c r="A11" i="1"/>
  <c r="A26" i="1" s="1"/>
  <c r="A12" i="1"/>
  <c r="A42" i="1" s="1"/>
  <c r="A13" i="1"/>
  <c r="A28" i="1" s="1"/>
  <c r="B18" i="1"/>
  <c r="C31" i="1"/>
  <c r="A3" i="5"/>
  <c r="A15" i="5" s="1"/>
  <c r="A28" i="5" s="1"/>
  <c r="A4" i="5"/>
  <c r="A16" i="5" s="1"/>
  <c r="A29" i="5" s="1"/>
  <c r="A5" i="5"/>
  <c r="A17" i="5" s="1"/>
  <c r="A30" i="5" s="1"/>
  <c r="A6" i="5"/>
  <c r="A18" i="5" s="1"/>
  <c r="A31" i="5" s="1"/>
  <c r="A7" i="5"/>
  <c r="A19" i="5" s="1"/>
  <c r="A32" i="5" s="1"/>
  <c r="A8" i="5"/>
  <c r="A20" i="5" s="1"/>
  <c r="A33" i="5" s="1"/>
  <c r="A9" i="5"/>
  <c r="A21" i="5" s="1"/>
  <c r="A34" i="5" s="1"/>
  <c r="A10" i="5"/>
  <c r="A22" i="5" s="1"/>
  <c r="A35" i="5" s="1"/>
  <c r="A11" i="5"/>
  <c r="A23" i="5" s="1"/>
  <c r="A36" i="5" s="1"/>
  <c r="A3" i="2"/>
  <c r="A15" i="2" s="1"/>
  <c r="A28" i="2" s="1"/>
  <c r="A4" i="2"/>
  <c r="A16" i="2" s="1"/>
  <c r="A29" i="2" s="1"/>
  <c r="A5" i="2"/>
  <c r="A17" i="2" s="1"/>
  <c r="A30" i="2" s="1"/>
  <c r="A6" i="2"/>
  <c r="A18" i="2" s="1"/>
  <c r="A31" i="2" s="1"/>
  <c r="A7" i="2"/>
  <c r="A8" i="2"/>
  <c r="A20" i="2" s="1"/>
  <c r="A33" i="2" s="1"/>
  <c r="A9" i="2"/>
  <c r="A21" i="2" s="1"/>
  <c r="A34" i="2" s="1"/>
  <c r="A10" i="2"/>
  <c r="A22" i="2" s="1"/>
  <c r="A35" i="2" s="1"/>
  <c r="A11" i="2"/>
  <c r="A23" i="2" s="1"/>
  <c r="A36" i="2" s="1"/>
  <c r="C26" i="2"/>
  <c r="N8" i="7"/>
  <c r="N10" i="7"/>
  <c r="N9" i="7"/>
  <c r="N6" i="7"/>
  <c r="N7" i="7"/>
  <c r="N11" i="7"/>
  <c r="N2" i="7"/>
  <c r="N12" i="7"/>
  <c r="N3" i="7"/>
  <c r="N5" i="7"/>
  <c r="A19" i="2"/>
  <c r="A32" i="2" s="1"/>
  <c r="A2" i="2"/>
  <c r="A14" i="2" s="1"/>
  <c r="A27" i="2" s="1"/>
  <c r="A1" i="2"/>
  <c r="A2" i="5"/>
  <c r="A14" i="5" s="1"/>
  <c r="A27" i="5" s="1"/>
  <c r="A1" i="5"/>
  <c r="N4" i="7"/>
  <c r="N9" i="1" a="1"/>
  <c r="N11" i="1" a="1"/>
  <c r="N10" i="1" a="1"/>
  <c r="P13" i="1" l="1"/>
  <c r="F22" i="1"/>
  <c r="P8" i="1"/>
  <c r="C40" i="1"/>
  <c r="A27" i="1"/>
  <c r="B28" i="1"/>
  <c r="D28" i="1" s="1"/>
  <c r="E28" i="1" s="1"/>
  <c r="C41" i="1"/>
  <c r="C36" i="1"/>
  <c r="A41" i="1"/>
  <c r="A43" i="1"/>
  <c r="P9" i="1"/>
  <c r="C42" i="1"/>
  <c r="P4" i="1"/>
  <c r="P10" i="1"/>
  <c r="G25" i="1" s="1"/>
  <c r="P5" i="1"/>
  <c r="G20" i="1" s="1"/>
  <c r="A40" i="1"/>
  <c r="P12" i="1"/>
  <c r="G27" i="1" s="1"/>
  <c r="A39" i="1"/>
  <c r="P6" i="1"/>
  <c r="G21" i="1" s="1"/>
  <c r="A38" i="1"/>
  <c r="F28" i="1"/>
  <c r="A37" i="1"/>
  <c r="B37" i="1"/>
  <c r="P7" i="1"/>
  <c r="G22" i="1" s="1"/>
  <c r="P11" i="1"/>
  <c r="B36" i="1"/>
  <c r="A36" i="1"/>
  <c r="F25" i="1"/>
  <c r="F26" i="1"/>
  <c r="A35" i="1"/>
  <c r="A34" i="1"/>
  <c r="B40" i="1"/>
  <c r="C39" i="1"/>
  <c r="C43" i="1"/>
  <c r="B43" i="1"/>
  <c r="B39" i="1"/>
  <c r="B42" i="1"/>
  <c r="C35" i="1"/>
  <c r="C38" i="1"/>
  <c r="B35" i="1"/>
  <c r="B38" i="1"/>
  <c r="C34" i="1"/>
  <c r="B41" i="1"/>
  <c r="C37" i="1"/>
  <c r="B34" i="1"/>
  <c r="G28" i="1"/>
  <c r="F19" i="1"/>
  <c r="F24" i="1"/>
  <c r="F20" i="1"/>
  <c r="F21" i="1"/>
  <c r="D23" i="1"/>
  <c r="E23" i="1" s="1"/>
  <c r="F23" i="1"/>
  <c r="D26" i="1"/>
  <c r="E26" i="1" s="1"/>
  <c r="D27" i="1"/>
  <c r="E27" i="1" s="1"/>
  <c r="D21" i="1"/>
  <c r="E21" i="1" s="1"/>
  <c r="D19" i="1"/>
  <c r="E19" i="1" s="1"/>
  <c r="D22" i="1"/>
  <c r="E22" i="1" s="1"/>
  <c r="D24" i="1"/>
  <c r="E24" i="1" s="1"/>
  <c r="D25" i="1"/>
  <c r="E25" i="1" s="1"/>
  <c r="D20" i="1"/>
  <c r="E20" i="1" s="1"/>
  <c r="C32" i="1"/>
  <c r="B31" i="5"/>
  <c r="C34" i="5"/>
  <c r="G26" i="1"/>
  <c r="G23" i="1"/>
  <c r="B32" i="1"/>
  <c r="B33" i="5"/>
  <c r="B27" i="5"/>
  <c r="B28" i="5"/>
  <c r="C28" i="5"/>
  <c r="B29" i="5"/>
  <c r="C31" i="5"/>
  <c r="B32" i="5"/>
  <c r="B35" i="5"/>
  <c r="C35" i="5"/>
  <c r="C32" i="5"/>
  <c r="C29" i="5"/>
  <c r="B36" i="5"/>
  <c r="C36" i="5"/>
  <c r="B30" i="5"/>
  <c r="C33" i="5"/>
  <c r="C30" i="5"/>
  <c r="C27" i="5"/>
  <c r="B34" i="5"/>
  <c r="C32" i="2"/>
  <c r="C28" i="2"/>
  <c r="C27" i="2"/>
  <c r="C31" i="2"/>
  <c r="C36" i="2"/>
  <c r="B28" i="2"/>
  <c r="B35" i="2"/>
  <c r="C34" i="2"/>
  <c r="C30" i="2"/>
  <c r="C33" i="2"/>
  <c r="C35" i="2"/>
  <c r="B34" i="2"/>
  <c r="B33" i="2"/>
  <c r="B32" i="2"/>
  <c r="B31" i="2"/>
  <c r="B30" i="2"/>
  <c r="C29" i="2"/>
  <c r="B27" i="2"/>
  <c r="B29" i="2"/>
  <c r="B36" i="2"/>
  <c r="G24" i="1"/>
  <c r="C33" i="1"/>
  <c r="N11" i="1"/>
  <c r="N10" i="1"/>
  <c r="N9" i="1"/>
  <c r="B33" i="1"/>
  <c r="F18" i="1"/>
  <c r="C17" i="1"/>
  <c r="C29" i="1" s="1"/>
  <c r="A3" i="1"/>
  <c r="A2" i="1"/>
  <c r="A17" i="1" s="1"/>
  <c r="G15" i="5"/>
  <c r="G16" i="5"/>
  <c r="G17" i="5"/>
  <c r="G18" i="5"/>
  <c r="G19" i="5"/>
  <c r="G20" i="5"/>
  <c r="G21" i="5"/>
  <c r="G22" i="5"/>
  <c r="G23" i="5"/>
  <c r="G14" i="5"/>
  <c r="G15" i="2"/>
  <c r="G16" i="2"/>
  <c r="G17" i="2"/>
  <c r="G18" i="2"/>
  <c r="G19" i="2"/>
  <c r="G20" i="2"/>
  <c r="G21" i="2"/>
  <c r="G22" i="2"/>
  <c r="G14" i="2"/>
  <c r="B15" i="5"/>
  <c r="C15" i="5"/>
  <c r="B16" i="5"/>
  <c r="C16" i="5"/>
  <c r="B17" i="5"/>
  <c r="C17" i="5"/>
  <c r="B18" i="5"/>
  <c r="C18" i="5"/>
  <c r="B19" i="5"/>
  <c r="C19" i="5"/>
  <c r="B20" i="5"/>
  <c r="C20" i="5"/>
  <c r="B21" i="5"/>
  <c r="C21" i="5"/>
  <c r="B22" i="5"/>
  <c r="C22" i="5"/>
  <c r="B23" i="5"/>
  <c r="C23" i="5"/>
  <c r="C14" i="5"/>
  <c r="B14" i="5"/>
  <c r="C13" i="5"/>
  <c r="B13" i="5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14" i="2"/>
  <c r="C14" i="2"/>
  <c r="C13" i="2"/>
  <c r="B13" i="2"/>
  <c r="N11" i="5" a="1"/>
  <c r="N2" i="2" a="1"/>
  <c r="N6" i="5" a="1"/>
  <c r="N4" i="5" a="1"/>
  <c r="N6" i="2" a="1"/>
  <c r="D16" i="2" a="1"/>
  <c r="D17" i="5" a="1"/>
  <c r="D21" i="2" a="1"/>
  <c r="N3" i="2" a="1"/>
  <c r="D23" i="2" a="1"/>
  <c r="N4" i="2" a="1"/>
  <c r="D23" i="5" a="1"/>
  <c r="O10" i="1" a="1"/>
  <c r="D17" i="2" a="1"/>
  <c r="D22" i="5" a="1"/>
  <c r="N8" i="5" a="1"/>
  <c r="D15" i="2" a="1"/>
  <c r="D19" i="2" a="1"/>
  <c r="N5" i="2" a="1"/>
  <c r="D14" i="2" a="1"/>
  <c r="D20" i="2" a="1"/>
  <c r="D14" i="5" a="1"/>
  <c r="N9" i="5" a="1"/>
  <c r="N11" i="2" a="1"/>
  <c r="D18" i="2" a="1"/>
  <c r="D16" i="5" a="1"/>
  <c r="N2" i="1" a="1"/>
  <c r="N10" i="5" a="1"/>
  <c r="D19" i="5" a="1"/>
  <c r="D20" i="5" a="1"/>
  <c r="O9" i="1" a="1"/>
  <c r="N10" i="2" a="1"/>
  <c r="D18" i="5" a="1"/>
  <c r="N7" i="5" a="1"/>
  <c r="O11" i="1" a="1"/>
  <c r="D21" i="5" a="1"/>
  <c r="N7" i="2" a="1"/>
  <c r="N2" i="5" a="1"/>
  <c r="N3" i="5" a="1"/>
  <c r="D15" i="5" a="1"/>
  <c r="N5" i="5" a="1"/>
  <c r="N9" i="2" a="1"/>
  <c r="D22" i="2" a="1"/>
  <c r="N8" i="2" a="1"/>
  <c r="D40" i="1" l="1"/>
  <c r="E40" i="1" s="1"/>
  <c r="D36" i="1"/>
  <c r="E36" i="1" s="1"/>
  <c r="D41" i="1"/>
  <c r="E41" i="1" s="1"/>
  <c r="D42" i="1"/>
  <c r="E42" i="1" s="1"/>
  <c r="D43" i="1"/>
  <c r="E43" i="1" s="1"/>
  <c r="D37" i="1"/>
  <c r="E37" i="1" s="1"/>
  <c r="D39" i="1"/>
  <c r="E39" i="1" s="1"/>
  <c r="D34" i="1"/>
  <c r="E34" i="1" s="1"/>
  <c r="D38" i="1"/>
  <c r="E38" i="1" s="1"/>
  <c r="D35" i="1"/>
  <c r="E35" i="1" s="1"/>
  <c r="D31" i="5"/>
  <c r="E31" i="5" s="1"/>
  <c r="D34" i="5"/>
  <c r="E34" i="5" s="1"/>
  <c r="D32" i="1"/>
  <c r="E32" i="1" s="1"/>
  <c r="D32" i="5"/>
  <c r="E32" i="5" s="1"/>
  <c r="D29" i="5"/>
  <c r="E29" i="5" s="1"/>
  <c r="D35" i="5"/>
  <c r="E35" i="5" s="1"/>
  <c r="D28" i="5"/>
  <c r="E28" i="5" s="1"/>
  <c r="D33" i="5"/>
  <c r="E33" i="5" s="1"/>
  <c r="D30" i="5"/>
  <c r="E30" i="5" s="1"/>
  <c r="B37" i="5"/>
  <c r="C37" i="5"/>
  <c r="D27" i="5"/>
  <c r="E27" i="5" s="1"/>
  <c r="D36" i="5"/>
  <c r="E36" i="5" s="1"/>
  <c r="B37" i="2"/>
  <c r="A33" i="1"/>
  <c r="A18" i="1"/>
  <c r="C44" i="1"/>
  <c r="D33" i="1"/>
  <c r="E33" i="1" s="1"/>
  <c r="B44" i="1"/>
  <c r="O9" i="1"/>
  <c r="O10" i="1"/>
  <c r="O11" i="1"/>
  <c r="A32" i="1"/>
  <c r="P14" i="1"/>
  <c r="P3" i="1"/>
  <c r="P2" i="1"/>
  <c r="N2" i="1"/>
  <c r="D18" i="5"/>
  <c r="D16" i="5"/>
  <c r="D17" i="5"/>
  <c r="D22" i="5"/>
  <c r="D21" i="5"/>
  <c r="D20" i="5"/>
  <c r="D23" i="5"/>
  <c r="D19" i="5"/>
  <c r="D15" i="5"/>
  <c r="D14" i="5"/>
  <c r="N4" i="5"/>
  <c r="N5" i="5"/>
  <c r="N8" i="5"/>
  <c r="N6" i="5"/>
  <c r="N10" i="5"/>
  <c r="N9" i="5"/>
  <c r="N11" i="5"/>
  <c r="N7" i="5"/>
  <c r="N3" i="5"/>
  <c r="N2" i="5"/>
  <c r="D18" i="2"/>
  <c r="D31" i="2" s="1"/>
  <c r="E31" i="2" s="1"/>
  <c r="D19" i="2"/>
  <c r="D32" i="2" s="1"/>
  <c r="E32" i="2" s="1"/>
  <c r="D21" i="2"/>
  <c r="D34" i="2" s="1"/>
  <c r="E34" i="2" s="1"/>
  <c r="D16" i="2"/>
  <c r="D29" i="2" s="1"/>
  <c r="E29" i="2" s="1"/>
  <c r="D23" i="2"/>
  <c r="D36" i="2" s="1"/>
  <c r="E36" i="2" s="1"/>
  <c r="D15" i="2"/>
  <c r="D28" i="2" s="1"/>
  <c r="E28" i="2" s="1"/>
  <c r="D22" i="2"/>
  <c r="D35" i="2" s="1"/>
  <c r="E35" i="2" s="1"/>
  <c r="D17" i="2"/>
  <c r="D30" i="2" s="1"/>
  <c r="E30" i="2" s="1"/>
  <c r="D20" i="2"/>
  <c r="D33" i="2" s="1"/>
  <c r="E33" i="2" s="1"/>
  <c r="D14" i="2"/>
  <c r="N9" i="2"/>
  <c r="N10" i="2"/>
  <c r="N5" i="2"/>
  <c r="N4" i="2"/>
  <c r="N6" i="2"/>
  <c r="N8" i="2"/>
  <c r="N11" i="2"/>
  <c r="N7" i="2"/>
  <c r="N3" i="2"/>
  <c r="N2" i="2"/>
  <c r="O10" i="5" a="1"/>
  <c r="E18" i="5" a="1"/>
  <c r="O5" i="5" a="1"/>
  <c r="O9" i="5" a="1"/>
  <c r="O6" i="5" a="1"/>
  <c r="O6" i="2" a="1"/>
  <c r="O10" i="2" a="1"/>
  <c r="O7" i="2" a="1"/>
  <c r="E17" i="5" a="1"/>
  <c r="E20" i="5" a="1"/>
  <c r="O8" i="2" a="1"/>
  <c r="O5" i="2" a="1"/>
  <c r="O7" i="5" a="1"/>
  <c r="O8" i="5" a="1"/>
  <c r="O2" i="2" a="1"/>
  <c r="O3" i="2" a="1"/>
  <c r="O11" i="5" a="1"/>
  <c r="O3" i="5" a="1"/>
  <c r="O4" i="2" a="1"/>
  <c r="E14" i="2" a="1"/>
  <c r="O2" i="5" a="1"/>
  <c r="E21" i="5" a="1"/>
  <c r="E23" i="5" a="1"/>
  <c r="E14" i="5" a="1"/>
  <c r="O9" i="2" a="1"/>
  <c r="E22" i="5" a="1"/>
  <c r="O11" i="2" a="1"/>
  <c r="E16" i="5" a="1"/>
  <c r="E19" i="5" a="1"/>
  <c r="E15" i="5" a="1"/>
  <c r="O4" i="5" a="1"/>
  <c r="H25" i="1" l="1"/>
  <c r="Q10" i="1"/>
  <c r="Q13" i="1"/>
  <c r="Q12" i="1"/>
  <c r="Q7" i="1"/>
  <c r="Q4" i="1"/>
  <c r="Q8" i="1"/>
  <c r="Q6" i="1"/>
  <c r="Q9" i="1"/>
  <c r="Q11" i="1"/>
  <c r="Q5" i="1"/>
  <c r="H28" i="1"/>
  <c r="D37" i="5"/>
  <c r="E37" i="5" s="1"/>
  <c r="C37" i="2"/>
  <c r="D37" i="2" s="1"/>
  <c r="E37" i="2" s="1"/>
  <c r="D27" i="2"/>
  <c r="E27" i="2" s="1"/>
  <c r="H21" i="1"/>
  <c r="H23" i="1"/>
  <c r="H24" i="1"/>
  <c r="H20" i="1"/>
  <c r="H26" i="1"/>
  <c r="H22" i="1"/>
  <c r="H27" i="1"/>
  <c r="D44" i="1"/>
  <c r="E44" i="1" s="1"/>
  <c r="E20" i="5"/>
  <c r="E19" i="5"/>
  <c r="E17" i="5"/>
  <c r="E15" i="5"/>
  <c r="E16" i="5"/>
  <c r="E23" i="5"/>
  <c r="E21" i="5"/>
  <c r="E22" i="5"/>
  <c r="E18" i="5"/>
  <c r="E14" i="5"/>
  <c r="O6" i="5"/>
  <c r="O8" i="5"/>
  <c r="O3" i="5"/>
  <c r="O7" i="5"/>
  <c r="O5" i="5"/>
  <c r="O11" i="5"/>
  <c r="O9" i="5"/>
  <c r="O10" i="5"/>
  <c r="O4" i="5"/>
  <c r="O2" i="5"/>
  <c r="E14" i="2"/>
  <c r="O7" i="2"/>
  <c r="O5" i="2"/>
  <c r="O10" i="2"/>
  <c r="O3" i="2"/>
  <c r="O11" i="2"/>
  <c r="O8" i="2"/>
  <c r="O6" i="2"/>
  <c r="O4" i="2"/>
  <c r="O9" i="2"/>
  <c r="O2" i="2"/>
  <c r="E18" i="2" a="1"/>
  <c r="E19" i="2" a="1"/>
  <c r="E15" i="2" a="1"/>
  <c r="E23" i="2" a="1"/>
  <c r="N12" i="1" a="1"/>
  <c r="E21" i="2" a="1"/>
  <c r="E16" i="2" a="1"/>
  <c r="E17" i="2" a="1"/>
  <c r="E22" i="2" a="1"/>
  <c r="E20" i="2" a="1"/>
  <c r="E21" i="2" l="1"/>
  <c r="E23" i="2"/>
  <c r="E18" i="2"/>
  <c r="E19" i="2"/>
  <c r="E15" i="2"/>
  <c r="E20" i="2"/>
  <c r="E16" i="2"/>
  <c r="E17" i="2"/>
  <c r="E22" i="2"/>
  <c r="N12" i="1"/>
  <c r="O12" i="1" a="1"/>
  <c r="O12" i="1" l="1"/>
  <c r="N8" i="1" a="1"/>
  <c r="N8" i="1" l="1"/>
  <c r="O8" i="1" a="1"/>
  <c r="N7" i="1" a="1"/>
  <c r="N7" i="1" l="1"/>
  <c r="O8" i="1"/>
  <c r="O7" i="1" a="1"/>
  <c r="N6" i="1" a="1"/>
  <c r="N6" i="1" l="1"/>
  <c r="O7" i="1"/>
  <c r="N5" i="1" a="1"/>
  <c r="O6" i="1" a="1"/>
  <c r="N5" i="1" l="1"/>
  <c r="O6" i="1"/>
  <c r="N4" i="1" a="1"/>
  <c r="O5" i="1" a="1"/>
  <c r="N4" i="1" l="1"/>
  <c r="O5" i="1"/>
  <c r="G23" i="2"/>
  <c r="N3" i="1" a="1"/>
  <c r="O4" i="1" a="1"/>
  <c r="N3" i="1" l="1"/>
  <c r="O4" i="1"/>
  <c r="G19" i="1"/>
  <c r="H19" i="1" s="1"/>
  <c r="G18" i="1"/>
  <c r="H18" i="1" s="1"/>
  <c r="D18" i="1"/>
  <c r="E18" i="1" s="1"/>
  <c r="Q14" i="1"/>
  <c r="B17" i="1"/>
  <c r="B29" i="1" s="1"/>
  <c r="C16" i="1"/>
  <c r="B16" i="1"/>
  <c r="N14" i="1" a="1"/>
  <c r="O2" i="1" a="1"/>
  <c r="O3" i="1" a="1"/>
  <c r="F17" i="1" l="1"/>
  <c r="Q3" i="1"/>
  <c r="Q2" i="1"/>
  <c r="O3" i="1"/>
  <c r="G29" i="1"/>
  <c r="O2" i="1"/>
  <c r="G17" i="1"/>
  <c r="H17" i="1" s="1"/>
  <c r="N14" i="1"/>
  <c r="H15" i="2"/>
  <c r="H16" i="2"/>
  <c r="H17" i="2"/>
  <c r="H18" i="2"/>
  <c r="H19" i="2"/>
  <c r="H20" i="2"/>
  <c r="H21" i="2"/>
  <c r="H22" i="2"/>
  <c r="H23" i="2"/>
  <c r="H14" i="2"/>
  <c r="F15" i="2"/>
  <c r="F16" i="2"/>
  <c r="F17" i="2"/>
  <c r="F18" i="2"/>
  <c r="F19" i="2"/>
  <c r="F20" i="2"/>
  <c r="F21" i="2"/>
  <c r="F22" i="2"/>
  <c r="F23" i="2"/>
  <c r="C24" i="2"/>
  <c r="F24" i="2" s="1"/>
  <c r="B24" i="2"/>
  <c r="O14" i="1" a="1"/>
  <c r="G24" i="2" l="1"/>
  <c r="H24" i="2" s="1"/>
  <c r="O14" i="1"/>
  <c r="D17" i="1"/>
  <c r="E17" i="1" s="1"/>
  <c r="H15" i="5"/>
  <c r="H16" i="5"/>
  <c r="H17" i="5"/>
  <c r="H18" i="5"/>
  <c r="H19" i="5"/>
  <c r="H20" i="5"/>
  <c r="H21" i="5"/>
  <c r="H22" i="5"/>
  <c r="H23" i="5"/>
  <c r="F20" i="5"/>
  <c r="F21" i="5"/>
  <c r="F22" i="5"/>
  <c r="F23" i="5"/>
  <c r="F19" i="5"/>
  <c r="F18" i="5"/>
  <c r="F17" i="5"/>
  <c r="H14" i="5"/>
  <c r="F14" i="2"/>
  <c r="G24" i="5" l="1"/>
  <c r="H24" i="5" s="1"/>
  <c r="D29" i="1"/>
  <c r="E29" i="1" s="1"/>
  <c r="B24" i="5"/>
  <c r="F14" i="5"/>
  <c r="F15" i="5"/>
  <c r="C24" i="5"/>
  <c r="F24" i="5" s="1"/>
  <c r="F16" i="5"/>
  <c r="D24" i="2" l="1"/>
  <c r="E24" i="2" s="1"/>
  <c r="D24" i="5"/>
  <c r="E24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6EB9C4-812D-422A-8EB7-A7AB8C999249}" keepAlive="1" name="Query - aws-spend" description="Connection to the 'aws-spend' query in the workbook." type="5" refreshedVersion="8" background="1" saveData="1">
    <dbPr connection="Provider=Microsoft.Mashup.OleDb.1;Data Source=$Workbook$;Location=aws-spend;Extended Properties=&quot;&quot;" command="SELECT * FROM [aws-spend]"/>
  </connection>
  <connection id="2" xr16:uid="{FECAB6A1-5CA6-44D6-BE7E-CA9148F4399F}" keepAlive="1" name="Query - aws-spend-top-accounts" description="Connection to the 'aws-spend-top-accounts' query in the workbook." type="5" refreshedVersion="8" background="1" saveData="1">
    <dbPr connection="Provider=Microsoft.Mashup.OleDb.1;Data Source=$Workbook$;Location=aws-spend-top-accounts;Extended Properties=&quot;&quot;" command="SELECT * FROM [aws-spend-top-accounts]"/>
  </connection>
  <connection id="3" xr16:uid="{8CC8FBC1-BD15-4D5B-BA9C-15D0FE415DFC}" keepAlive="1" name="Query - aws-spend-top-services" description="Connection to the 'aws-spend-top-services' query in the workbook." type="5" refreshedVersion="8" background="1" saveData="1">
    <dbPr connection="Provider=Microsoft.Mashup.OleDb.1;Data Source=$Workbook$;Location=aws-spend-top-services;Extended Properties=&quot;&quot;" command="SELECT * FROM [aws-spend-top-servi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<sst xmlns="http://schemas.openxmlformats.org/spreadsheetml/2006/main" count="181" uniqueCount="83">
  <si>
    <t>Month</t>
  </si>
  <si>
    <t>May</t>
  </si>
  <si>
    <t>Difference</t>
  </si>
  <si>
    <t>Jan</t>
  </si>
  <si>
    <t>Feb</t>
  </si>
  <si>
    <t>Mar</t>
  </si>
  <si>
    <t>Apr</t>
  </si>
  <si>
    <t>Jun</t>
  </si>
  <si>
    <t>Jul</t>
  </si>
  <si>
    <t>Aug</t>
  </si>
  <si>
    <t>tca</t>
  </si>
  <si>
    <t>cw</t>
  </si>
  <si>
    <t>ab</t>
  </si>
  <si>
    <t>asp</t>
  </si>
  <si>
    <t>hwcg</t>
  </si>
  <si>
    <t>dc</t>
  </si>
  <si>
    <t>sw</t>
  </si>
  <si>
    <t>bma</t>
  </si>
  <si>
    <t>total</t>
  </si>
  <si>
    <t>Total</t>
  </si>
  <si>
    <t>Amazon EC2 (Hosted Servers)</t>
  </si>
  <si>
    <t>Amazon RDS (Database)</t>
  </si>
  <si>
    <t>Amazon FSx (File Sharing for TCA)</t>
  </si>
  <si>
    <t>Amazon OpenSearch Service (Security)</t>
  </si>
  <si>
    <t>Amazon VPC (Networking)</t>
  </si>
  <si>
    <t>AWS Network Firewall (Security)</t>
  </si>
  <si>
    <t>% Difference</t>
  </si>
  <si>
    <t>YTD Spend</t>
  </si>
  <si>
    <t>% Spend</t>
  </si>
  <si>
    <t>Month Spend</t>
  </si>
  <si>
    <t>aws-ss-prod</t>
  </si>
  <si>
    <t>Authority Brands</t>
  </si>
  <si>
    <t>The Cleaning Authority - Production</t>
  </si>
  <si>
    <t>aws-abcd-prod</t>
  </si>
  <si>
    <t>aws-backups</t>
  </si>
  <si>
    <t>Log archive</t>
  </si>
  <si>
    <t>AWS Glue</t>
  </si>
  <si>
    <t>Sep</t>
  </si>
  <si>
    <t>Oct</t>
  </si>
  <si>
    <t>ss</t>
  </si>
  <si>
    <t>Brand Total</t>
  </si>
  <si>
    <t>Nov</t>
  </si>
  <si>
    <t>jl</t>
  </si>
  <si>
    <t>Dec</t>
  </si>
  <si>
    <t>AWS Support (Enterprise)</t>
  </si>
  <si>
    <t>12 Month Spend</t>
  </si>
  <si>
    <t>% 12M Spend</t>
  </si>
  <si>
    <t>AWS Cloud WAN</t>
  </si>
  <si>
    <t>stop</t>
  </si>
  <si>
    <t>aws-doody-prod</t>
  </si>
  <si>
    <t>aws-dw-dev</t>
  </si>
  <si>
    <t>Amazon Redshift</t>
  </si>
  <si>
    <t>aws-dw-qa</t>
  </si>
  <si>
    <t>12M Spend</t>
  </si>
  <si>
    <t>Audit</t>
  </si>
  <si>
    <t>Region</t>
  </si>
  <si>
    <t>Item</t>
  </si>
  <si>
    <t>Notes</t>
  </si>
  <si>
    <t>RDS Reserved Instance</t>
  </si>
  <si>
    <t>cw-prod-use1</t>
  </si>
  <si>
    <t>Account Name</t>
  </si>
  <si>
    <t>Account Number</t>
  </si>
  <si>
    <t>133186797263</t>
  </si>
  <si>
    <t>us-east-1</t>
  </si>
  <si>
    <t>Start Datetime (UTC)</t>
  </si>
  <si>
    <t>Duration</t>
  </si>
  <si>
    <t>Identifier</t>
  </si>
  <si>
    <t>b418cf09-9335-4bcc-81a3-63fffee31060</t>
  </si>
  <si>
    <t>End Datetime (UTC)</t>
  </si>
  <si>
    <t>1 year</t>
  </si>
  <si>
    <t>SQL Server Standard Edition (License Included) - db.m6i.large - Multi-AZ</t>
  </si>
  <si>
    <t>Item Description</t>
  </si>
  <si>
    <t>Added for cw-prod-lgcy app</t>
  </si>
  <si>
    <t>Savings Plan</t>
  </si>
  <si>
    <t>e0bf9a03-2532-4b6b-a086-456886b53bff</t>
  </si>
  <si>
    <t>409809348404</t>
  </si>
  <si>
    <t>global</t>
  </si>
  <si>
    <t>3 year</t>
  </si>
  <si>
    <t>General Compute Savings Plan</t>
  </si>
  <si>
    <t>Spend Commit - $12.87600</t>
  </si>
  <si>
    <t>Spend Commit - $25.65800</t>
  </si>
  <si>
    <t>9abff715-56e5-4385-abb6-c06ed1a9f0c4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</si>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</sst>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&quot;$&quot;#,##0.00"/>
    <numFmt numFmtId="165" formatCode="yyyy/mm/dd\ hh:mm:ss"/>
  </numFmts>
  <fonts count="8" x14ac:knownFonts="1">
    <font>
      <sz val="11"/>
      <color theme="1"/>
      <name val="Aptos Narrow"/>
      <family val="2"/>
      <scheme val="minor"/>
    </font>
    <font>
      <sz val="14"/>
      <color rgb="FF000000"/>
      <name val="Aptos"/>
      <family val="2"/>
    </font>
    <font>
      <b/>
      <sz val="14"/>
      <color rgb="FF000000"/>
      <name val="Aptos"/>
      <family val="2"/>
    </font>
    <font>
      <b/>
      <sz val="14"/>
      <name val="Aptos"/>
      <family val="2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8" fontId="1" fillId="0" borderId="1" xfId="0" applyNumberFormat="1" applyFont="1" applyBorder="1" applyAlignment="1">
      <alignment horizontal="right" wrapText="1" readingOrder="1"/>
    </xf>
    <xf numFmtId="0" fontId="2" fillId="0" borderId="1" xfId="0" applyFont="1" applyBorder="1" applyAlignment="1">
      <alignment horizontal="left" wrapText="1" readingOrder="1"/>
    </xf>
    <xf numFmtId="0" fontId="2" fillId="2" borderId="1" xfId="0" applyFont="1" applyFill="1" applyBorder="1" applyAlignment="1">
      <alignment horizontal="center" wrapText="1" readingOrder="1"/>
    </xf>
    <xf numFmtId="0" fontId="0" fillId="0" borderId="0" xfId="0" applyAlignment="1">
      <alignment horizontal="center"/>
    </xf>
    <xf numFmtId="164" fontId="3" fillId="0" borderId="1" xfId="0" applyNumberFormat="1" applyFont="1" applyBorder="1" applyAlignment="1">
      <alignment wrapText="1"/>
    </xf>
    <xf numFmtId="164" fontId="2" fillId="0" borderId="1" xfId="0" applyNumberFormat="1" applyFont="1" applyBorder="1" applyAlignment="1">
      <alignment horizontal="right" wrapText="1" readingOrder="1"/>
    </xf>
    <xf numFmtId="164" fontId="2" fillId="2" borderId="1" xfId="0" applyNumberFormat="1" applyFont="1" applyFill="1" applyBorder="1" applyAlignment="1">
      <alignment horizontal="center" wrapText="1" readingOrder="1"/>
    </xf>
    <xf numFmtId="164" fontId="4" fillId="0" borderId="0" xfId="0" applyNumberFormat="1" applyFont="1"/>
    <xf numFmtId="164" fontId="0" fillId="0" borderId="0" xfId="0" applyNumberFormat="1"/>
    <xf numFmtId="10" fontId="2" fillId="2" borderId="1" xfId="0" applyNumberFormat="1" applyFont="1" applyFill="1" applyBorder="1" applyAlignment="1">
      <alignment horizontal="center" wrapText="1" readingOrder="1"/>
    </xf>
    <xf numFmtId="10" fontId="4" fillId="0" borderId="0" xfId="0" applyNumberFormat="1" applyFont="1"/>
    <xf numFmtId="10" fontId="0" fillId="0" borderId="0" xfId="0" applyNumberFormat="1"/>
    <xf numFmtId="0" fontId="2" fillId="2" borderId="2" xfId="0" applyFont="1" applyFill="1" applyBorder="1" applyAlignment="1">
      <alignment horizontal="center" wrapText="1" readingOrder="1"/>
    </xf>
    <xf numFmtId="164" fontId="3" fillId="0" borderId="0" xfId="0" applyNumberFormat="1" applyFont="1" applyAlignment="1">
      <alignment wrapText="1"/>
    </xf>
    <xf numFmtId="10" fontId="2" fillId="0" borderId="0" xfId="0" applyNumberFormat="1" applyFont="1" applyAlignment="1">
      <alignment horizontal="right" wrapText="1" readingOrder="1"/>
    </xf>
    <xf numFmtId="10" fontId="2" fillId="0" borderId="6" xfId="0" applyNumberFormat="1" applyFont="1" applyBorder="1" applyAlignment="1">
      <alignment horizontal="right" wrapText="1" readingOrder="1"/>
    </xf>
    <xf numFmtId="10" fontId="2" fillId="2" borderId="3" xfId="0" applyNumberFormat="1" applyFont="1" applyFill="1" applyBorder="1" applyAlignment="1">
      <alignment horizontal="center" wrapText="1" readingOrder="1"/>
    </xf>
    <xf numFmtId="0" fontId="2" fillId="2" borderId="7" xfId="0" applyFont="1" applyFill="1" applyBorder="1" applyAlignment="1">
      <alignment horizontal="center" wrapText="1" readingOrder="1"/>
    </xf>
    <xf numFmtId="0" fontId="2" fillId="2" borderId="8" xfId="0" applyFont="1" applyFill="1" applyBorder="1" applyAlignment="1">
      <alignment horizontal="center" wrapText="1" readingOrder="1"/>
    </xf>
    <xf numFmtId="10" fontId="1" fillId="0" borderId="9" xfId="0" applyNumberFormat="1" applyFont="1" applyBorder="1" applyAlignment="1">
      <alignment horizontal="right" wrapText="1" readingOrder="1"/>
    </xf>
    <xf numFmtId="10" fontId="1" fillId="0" borderId="10" xfId="0" applyNumberFormat="1" applyFont="1" applyBorder="1" applyAlignment="1">
      <alignment horizontal="right" wrapText="1" readingOrder="1"/>
    </xf>
    <xf numFmtId="10" fontId="1" fillId="0" borderId="11" xfId="0" applyNumberFormat="1" applyFont="1" applyBorder="1" applyAlignment="1">
      <alignment horizontal="right" wrapText="1" readingOrder="1"/>
    </xf>
    <xf numFmtId="0" fontId="2" fillId="2" borderId="12" xfId="0" applyFont="1" applyFill="1" applyBorder="1" applyAlignment="1">
      <alignment horizontal="center" wrapText="1" readingOrder="1"/>
    </xf>
    <xf numFmtId="0" fontId="2" fillId="2" borderId="13" xfId="0" applyFont="1" applyFill="1" applyBorder="1" applyAlignment="1">
      <alignment horizontal="center" wrapText="1" readingOrder="1"/>
    </xf>
    <xf numFmtId="0" fontId="2" fillId="2" borderId="6" xfId="0" applyFont="1" applyFill="1" applyBorder="1" applyAlignment="1">
      <alignment horizontal="center" wrapText="1" readingOrder="1"/>
    </xf>
    <xf numFmtId="8" fontId="1" fillId="0" borderId="9" xfId="0" applyNumberFormat="1" applyFont="1" applyBorder="1" applyAlignment="1">
      <alignment horizontal="right" wrapText="1" readingOrder="1"/>
    </xf>
    <xf numFmtId="164" fontId="4" fillId="0" borderId="3" xfId="0" applyNumberFormat="1" applyFont="1" applyBorder="1"/>
    <xf numFmtId="10" fontId="4" fillId="0" borderId="5" xfId="0" applyNumberFormat="1" applyFont="1" applyBorder="1"/>
    <xf numFmtId="164" fontId="3" fillId="0" borderId="3" xfId="0" applyNumberFormat="1" applyFont="1" applyBorder="1" applyAlignment="1">
      <alignment wrapText="1"/>
    </xf>
    <xf numFmtId="164" fontId="3" fillId="0" borderId="5" xfId="0" applyNumberFormat="1" applyFont="1" applyBorder="1" applyAlignment="1">
      <alignment wrapText="1"/>
    </xf>
    <xf numFmtId="0" fontId="2" fillId="2" borderId="14" xfId="0" applyFont="1" applyFill="1" applyBorder="1" applyAlignment="1">
      <alignment horizontal="center" wrapText="1" readingOrder="1"/>
    </xf>
    <xf numFmtId="10" fontId="1" fillId="0" borderId="7" xfId="0" applyNumberFormat="1" applyFont="1" applyBorder="1" applyAlignment="1">
      <alignment horizontal="right" wrapText="1" readingOrder="1"/>
    </xf>
    <xf numFmtId="10" fontId="1" fillId="0" borderId="8" xfId="0" applyNumberFormat="1" applyFont="1" applyBorder="1" applyAlignment="1">
      <alignment horizontal="right" wrapText="1" readingOrder="1"/>
    </xf>
    <xf numFmtId="164" fontId="5" fillId="0" borderId="12" xfId="0" applyNumberFormat="1" applyFont="1" applyBorder="1"/>
    <xf numFmtId="10" fontId="5" fillId="0" borderId="13" xfId="0" applyNumberFormat="1" applyFont="1" applyBorder="1"/>
    <xf numFmtId="10" fontId="2" fillId="0" borderId="4" xfId="0" applyNumberFormat="1" applyFont="1" applyBorder="1" applyAlignment="1">
      <alignment horizontal="right" wrapText="1" readingOrder="1"/>
    </xf>
    <xf numFmtId="164" fontId="3" fillId="0" borderId="12" xfId="0" applyNumberFormat="1" applyFont="1" applyBorder="1" applyAlignment="1">
      <alignment wrapText="1"/>
    </xf>
    <xf numFmtId="10" fontId="2" fillId="0" borderId="13" xfId="0" applyNumberFormat="1" applyFont="1" applyBorder="1" applyAlignment="1">
      <alignment horizontal="right" wrapText="1" readingOrder="1"/>
    </xf>
    <xf numFmtId="0" fontId="0" fillId="0" borderId="7" xfId="0" applyBorder="1"/>
    <xf numFmtId="0" fontId="0" fillId="0" borderId="8" xfId="0" applyBorder="1"/>
    <xf numFmtId="10" fontId="2" fillId="2" borderId="15" xfId="0" applyNumberFormat="1" applyFont="1" applyFill="1" applyBorder="1" applyAlignment="1">
      <alignment horizontal="center" wrapText="1" readingOrder="1"/>
    </xf>
    <xf numFmtId="10" fontId="2" fillId="2" borderId="13" xfId="0" applyNumberFormat="1" applyFont="1" applyFill="1" applyBorder="1" applyAlignment="1">
      <alignment horizontal="center" wrapText="1" readingOrder="1"/>
    </xf>
    <xf numFmtId="10" fontId="1" fillId="0" borderId="16" xfId="0" applyNumberFormat="1" applyFont="1" applyBorder="1" applyAlignment="1">
      <alignment horizontal="right" wrapText="1" readingOrder="1"/>
    </xf>
    <xf numFmtId="10" fontId="1" fillId="0" borderId="4" xfId="0" applyNumberFormat="1" applyFont="1" applyBorder="1" applyAlignment="1">
      <alignment horizontal="right" wrapText="1" readingOrder="1"/>
    </xf>
    <xf numFmtId="164" fontId="1" fillId="0" borderId="1" xfId="0" applyNumberFormat="1" applyFont="1" applyBorder="1" applyAlignment="1">
      <alignment horizontal="right" wrapText="1" readingOrder="1"/>
    </xf>
    <xf numFmtId="164" fontId="1" fillId="0" borderId="6" xfId="0" applyNumberFormat="1" applyFont="1" applyBorder="1" applyAlignment="1">
      <alignment horizontal="right" wrapText="1" readingOrder="1"/>
    </xf>
    <xf numFmtId="8" fontId="1" fillId="0" borderId="6" xfId="0" applyNumberFormat="1" applyFont="1" applyBorder="1" applyAlignment="1">
      <alignment horizontal="right" wrapText="1" readingOrder="1"/>
    </xf>
    <xf numFmtId="10" fontId="1" fillId="0" borderId="1" xfId="0" applyNumberFormat="1" applyFont="1" applyBorder="1" applyAlignment="1">
      <alignment horizontal="right" wrapText="1" readingOrder="1"/>
    </xf>
    <xf numFmtId="164" fontId="1" fillId="0" borderId="1" xfId="0" applyNumberFormat="1" applyFont="1" applyBorder="1" applyAlignment="1">
      <alignment horizontal="center" vertical="center" wrapText="1" readingOrder="1"/>
    </xf>
    <xf numFmtId="164" fontId="1" fillId="0" borderId="0" xfId="0" applyNumberFormat="1" applyFont="1" applyAlignment="1">
      <alignment horizontal="right" wrapText="1" readingOrder="1"/>
    </xf>
    <xf numFmtId="0" fontId="7" fillId="0" borderId="0" xfId="0" applyFont="1"/>
    <xf numFmtId="49" fontId="7" fillId="0" borderId="0" xfId="0" applyNumberFormat="1" applyFont="1"/>
    <xf numFmtId="49" fontId="0" fillId="0" borderId="0" xfId="0" applyNumberFormat="1"/>
    <xf numFmtId="165" fontId="7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06100"/>
      <color rgb="FFC6EFCE"/>
      <color rgb="FFFFC7CE"/>
      <color rgb="FF9C00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Sheet4!$A$2</c:f>
              <c:strCache>
                <c:ptCount val="1"/>
                <c:pt idx="0">
                  <c:v>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Sheet4!$B$1:$M$1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Sheet4!$B$2:$M$2</c:f>
              <c:numCache>
                <c:formatCode>"$"#,##0.00</c:formatCode>
                <c:ptCount val="12"/>
                <c:pt idx="0">
                  <c:v>56675.43</c:v>
                </c:pt>
                <c:pt idx="1">
                  <c:v>58058.91</c:v>
                </c:pt>
                <c:pt idx="2">
                  <c:v>58030.04</c:v>
                </c:pt>
                <c:pt idx="3">
                  <c:v>59672.17</c:v>
                </c:pt>
                <c:pt idx="4">
                  <c:v>60921.52</c:v>
                </c:pt>
                <c:pt idx="5">
                  <c:v>59802.94</c:v>
                </c:pt>
                <c:pt idx="6">
                  <c:v>62115.03</c:v>
                </c:pt>
                <c:pt idx="7">
                  <c:v>63844.59</c:v>
                </c:pt>
                <c:pt idx="8">
                  <c:v>64214.81</c:v>
                </c:pt>
                <c:pt idx="9">
                  <c:v>76920.990000000005</c:v>
                </c:pt>
                <c:pt idx="10">
                  <c:v>70836.639999999999</c:v>
                </c:pt>
                <c:pt idx="11">
                  <c:v>77585.070000000007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B8-462C-9058-D07DE4CF197C}"/>
            </c:ext>
          </c:extLst>
        </c:ser>
        <c:ser>
          <c:idx val="1"/>
          <c:order val="1"/>
          <c:tx>
            <c:strRef>
              <c:f>Sheet4!$A$3</c:f>
              <c:strCache>
                <c:ptCount val="1"/>
                <c:pt idx="0">
                  <c:v>sw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Sheet4!$B$1:$M$1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Sheet4!$B$3:$M$3</c:f>
              <c:numCache>
                <c:formatCode>"$"#,##0.00</c:formatCode>
                <c:ptCount val="12"/>
                <c:pt idx="0">
                  <c:v>50711.74</c:v>
                </c:pt>
                <c:pt idx="1">
                  <c:v>47178.45</c:v>
                </c:pt>
                <c:pt idx="2">
                  <c:v>51085.51</c:v>
                </c:pt>
                <c:pt idx="3">
                  <c:v>51384.27</c:v>
                </c:pt>
                <c:pt idx="4">
                  <c:v>50095.14</c:v>
                </c:pt>
                <c:pt idx="5">
                  <c:v>50114.04</c:v>
                </c:pt>
                <c:pt idx="6">
                  <c:v>52828.53</c:v>
                </c:pt>
                <c:pt idx="7">
                  <c:v>53638</c:v>
                </c:pt>
                <c:pt idx="8">
                  <c:v>57385.32</c:v>
                </c:pt>
                <c:pt idx="9">
                  <c:v>49506.12</c:v>
                </c:pt>
                <c:pt idx="10">
                  <c:v>47233.43</c:v>
                </c:pt>
                <c:pt idx="11">
                  <c:v>55519.57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B8-462C-9058-D07DE4CF197C}"/>
            </c:ext>
          </c:extLst>
        </c:ser>
        <c:ser>
          <c:idx val="2"/>
          <c:order val="2"/>
          <c:tx>
            <c:strRef>
              <c:f>Sheet4!$A$4</c:f>
              <c:strCache>
                <c:ptCount val="1"/>
                <c:pt idx="0">
                  <c:v>ab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Sheet4!$B$1:$M$1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Sheet4!$B$4:$M$4</c:f>
              <c:numCache>
                <c:formatCode>"$"#,##0.00</c:formatCode>
                <c:ptCount val="12"/>
                <c:pt idx="0">
                  <c:v>23546.37</c:v>
                </c:pt>
                <c:pt idx="1">
                  <c:v>23871.07</c:v>
                </c:pt>
                <c:pt idx="2">
                  <c:v>24518.1</c:v>
                </c:pt>
                <c:pt idx="3">
                  <c:v>28452.82</c:v>
                </c:pt>
                <c:pt idx="4">
                  <c:v>27529.56</c:v>
                </c:pt>
                <c:pt idx="5">
                  <c:v>35812.1</c:v>
                </c:pt>
                <c:pt idx="6">
                  <c:v>30055.79</c:v>
                </c:pt>
                <c:pt idx="7">
                  <c:v>29046.43</c:v>
                </c:pt>
                <c:pt idx="8">
                  <c:v>31059.39</c:v>
                </c:pt>
                <c:pt idx="9">
                  <c:v>26301.82</c:v>
                </c:pt>
                <c:pt idx="10">
                  <c:v>26849.51</c:v>
                </c:pt>
                <c:pt idx="11">
                  <c:v>28714.720000000001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B8-462C-9058-D07DE4CF197C}"/>
            </c:ext>
          </c:extLst>
        </c:ser>
        <c:ser>
          <c:idx val="3"/>
          <c:order val="3"/>
          <c:tx>
            <c:strRef>
              <c:f>Sheet4!$A$5</c:f>
              <c:strCache>
                <c:ptCount val="1"/>
                <c:pt idx="0">
                  <c:v>tca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strRef>
              <c:f>Sheet4!$B$1:$M$1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Sheet4!$B$5:$M$5</c:f>
              <c:numCache>
                <c:formatCode>"$"#,##0.00</c:formatCode>
                <c:ptCount val="12"/>
                <c:pt idx="0">
                  <c:v>16919.830000000002</c:v>
                </c:pt>
                <c:pt idx="1">
                  <c:v>16164.97</c:v>
                </c:pt>
                <c:pt idx="2">
                  <c:v>15995.31</c:v>
                </c:pt>
                <c:pt idx="3">
                  <c:v>16662.89</c:v>
                </c:pt>
                <c:pt idx="4">
                  <c:v>17323.150000000001</c:v>
                </c:pt>
                <c:pt idx="5">
                  <c:v>18654.78</c:v>
                </c:pt>
                <c:pt idx="6">
                  <c:v>18616.68</c:v>
                </c:pt>
                <c:pt idx="7">
                  <c:v>18137.75</c:v>
                </c:pt>
                <c:pt idx="8">
                  <c:v>19901.41</c:v>
                </c:pt>
                <c:pt idx="9">
                  <c:v>16742.66</c:v>
                </c:pt>
                <c:pt idx="10">
                  <c:v>16642.849999999999</c:v>
                </c:pt>
                <c:pt idx="11">
                  <c:v>17669.71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B8-462C-9058-D07DE4CF197C}"/>
            </c:ext>
          </c:extLst>
        </c:ser>
        <c:ser>
          <c:idx val="4"/>
          <c:order val="4"/>
          <c:tx>
            <c:strRef>
              <c:f>Sheet4!$A$6</c:f>
              <c:strCache>
                <c:ptCount val="1"/>
                <c:pt idx="0">
                  <c:v>dc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Sheet4!$B$1:$M$1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Sheet4!$B$6:$M$6</c:f>
              <c:numCache>
                <c:formatCode>"$"#,##0.00</c:formatCode>
                <c:ptCount val="12"/>
                <c:pt idx="0">
                  <c:v>6397.31</c:v>
                </c:pt>
                <c:pt idx="1">
                  <c:v>6579.44</c:v>
                </c:pt>
                <c:pt idx="2">
                  <c:v>6336.91</c:v>
                </c:pt>
                <c:pt idx="3">
                  <c:v>6601.21</c:v>
                </c:pt>
                <c:pt idx="4">
                  <c:v>6603.07</c:v>
                </c:pt>
                <c:pt idx="5">
                  <c:v>6434.35</c:v>
                </c:pt>
                <c:pt idx="6">
                  <c:v>6687.86</c:v>
                </c:pt>
                <c:pt idx="7">
                  <c:v>6489.85</c:v>
                </c:pt>
                <c:pt idx="8">
                  <c:v>6090.15</c:v>
                </c:pt>
                <c:pt idx="9">
                  <c:v>5896.16</c:v>
                </c:pt>
                <c:pt idx="10">
                  <c:v>4936.88</c:v>
                </c:pt>
                <c:pt idx="11">
                  <c:v>4982.84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B8-462C-9058-D07DE4CF197C}"/>
            </c:ext>
          </c:extLst>
        </c:ser>
        <c:ser>
          <c:idx val="5"/>
          <c:order val="5"/>
          <c:tx>
            <c:strRef>
              <c:f>Sheet4!$A$7</c:f>
              <c:strCache>
                <c:ptCount val="1"/>
                <c:pt idx="0">
                  <c:v>hwcg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Sheet4!$B$1:$M$1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Sheet4!$B$7:$M$7</c:f>
              <c:numCache>
                <c:formatCode>"$"#,##0.00</c:formatCode>
                <c:ptCount val="12"/>
                <c:pt idx="0">
                  <c:v>4860.3900000000003</c:v>
                </c:pt>
                <c:pt idx="1">
                  <c:v>4459.5</c:v>
                </c:pt>
                <c:pt idx="2">
                  <c:v>3554.56</c:v>
                </c:pt>
                <c:pt idx="3">
                  <c:v>3817.2</c:v>
                </c:pt>
                <c:pt idx="4">
                  <c:v>3957.67</c:v>
                </c:pt>
                <c:pt idx="5">
                  <c:v>4296.8500000000004</c:v>
                </c:pt>
                <c:pt idx="6">
                  <c:v>4282.04</c:v>
                </c:pt>
                <c:pt idx="7">
                  <c:v>4245.38</c:v>
                </c:pt>
                <c:pt idx="8">
                  <c:v>4516.9399999999996</c:v>
                </c:pt>
                <c:pt idx="9">
                  <c:v>4287.5</c:v>
                </c:pt>
                <c:pt idx="10">
                  <c:v>4269.38</c:v>
                </c:pt>
                <c:pt idx="11">
                  <c:v>4533.7299999999996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8B8-462C-9058-D07DE4CF197C}"/>
            </c:ext>
          </c:extLst>
        </c:ser>
        <c:ser>
          <c:idx val="6"/>
          <c:order val="6"/>
          <c:tx>
            <c:strRef>
              <c:f>Sheet4!$A$8</c:f>
              <c:strCache>
                <c:ptCount val="1"/>
                <c:pt idx="0">
                  <c:v>asp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strRef>
              <c:f>Sheet4!$B$1:$M$1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Sheet4!$B$8:$M$8</c:f>
              <c:numCache>
                <c:formatCode>"$"#,##0.00</c:formatCode>
                <c:ptCount val="12"/>
                <c:pt idx="0">
                  <c:v>9483.17</c:v>
                </c:pt>
                <c:pt idx="1">
                  <c:v>8834.7900000000009</c:v>
                </c:pt>
                <c:pt idx="2">
                  <c:v>7674.76</c:v>
                </c:pt>
                <c:pt idx="3">
                  <c:v>7811.46</c:v>
                </c:pt>
                <c:pt idx="4">
                  <c:v>7609.76</c:v>
                </c:pt>
                <c:pt idx="5">
                  <c:v>7183.23</c:v>
                </c:pt>
                <c:pt idx="6">
                  <c:v>7560.49</c:v>
                </c:pt>
                <c:pt idx="7">
                  <c:v>7354.82</c:v>
                </c:pt>
                <c:pt idx="8">
                  <c:v>7170.44</c:v>
                </c:pt>
                <c:pt idx="9">
                  <c:v>6102.65</c:v>
                </c:pt>
                <c:pt idx="10">
                  <c:v>4805.28</c:v>
                </c:pt>
                <c:pt idx="11">
                  <c:v>4445.18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8B8-462C-9058-D07DE4CF197C}"/>
            </c:ext>
          </c:extLst>
        </c:ser>
        <c:ser>
          <c:idx val="7"/>
          <c:order val="7"/>
          <c:tx>
            <c:strRef>
              <c:f>Sheet4!$A$9</c:f>
              <c:strCache>
                <c:ptCount val="1"/>
                <c:pt idx="0">
                  <c:v>cw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strRef>
              <c:f>Sheet4!$B$1:$M$1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Sheet4!$B$9:$M$9</c:f>
              <c:numCache>
                <c:formatCode>"$"#,##0.00</c:formatCode>
                <c:ptCount val="12"/>
                <c:pt idx="0">
                  <c:v>11822.44</c:v>
                </c:pt>
                <c:pt idx="1">
                  <c:v>11426.31</c:v>
                </c:pt>
                <c:pt idx="2">
                  <c:v>10897.87</c:v>
                </c:pt>
                <c:pt idx="3">
                  <c:v>11190.95</c:v>
                </c:pt>
                <c:pt idx="4">
                  <c:v>11499.71</c:v>
                </c:pt>
                <c:pt idx="5">
                  <c:v>10991.67</c:v>
                </c:pt>
                <c:pt idx="6">
                  <c:v>11336.26</c:v>
                </c:pt>
                <c:pt idx="7">
                  <c:v>10534.29</c:v>
                </c:pt>
                <c:pt idx="8">
                  <c:v>12673.99</c:v>
                </c:pt>
                <c:pt idx="9">
                  <c:v>4357.0200000000004</c:v>
                </c:pt>
                <c:pt idx="10">
                  <c:v>3696.47</c:v>
                </c:pt>
                <c:pt idx="11">
                  <c:v>4034.71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8B8-462C-9058-D07DE4CF197C}"/>
            </c:ext>
          </c:extLst>
        </c:ser>
        <c:ser>
          <c:idx val="8"/>
          <c:order val="8"/>
          <c:tx>
            <c:strRef>
              <c:f>Sheet4!$A$10</c:f>
              <c:strCache>
                <c:ptCount val="1"/>
                <c:pt idx="0">
                  <c:v>bma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strRef>
              <c:f>Sheet4!$B$1:$M$1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Sheet4!$B$10:$M$10</c:f>
              <c:numCache>
                <c:formatCode>"$"#,##0.00</c:formatCode>
                <c:ptCount val="12"/>
                <c:pt idx="0">
                  <c:v>466.73</c:v>
                </c:pt>
                <c:pt idx="1">
                  <c:v>461.53</c:v>
                </c:pt>
                <c:pt idx="2">
                  <c:v>443.96</c:v>
                </c:pt>
                <c:pt idx="3">
                  <c:v>448.16</c:v>
                </c:pt>
                <c:pt idx="4">
                  <c:v>458.12</c:v>
                </c:pt>
                <c:pt idx="5">
                  <c:v>443.29</c:v>
                </c:pt>
                <c:pt idx="6">
                  <c:v>450.08</c:v>
                </c:pt>
                <c:pt idx="7">
                  <c:v>1027.5899999999999</c:v>
                </c:pt>
                <c:pt idx="8">
                  <c:v>1417.97</c:v>
                </c:pt>
                <c:pt idx="9">
                  <c:v>1300.5999999999999</c:v>
                </c:pt>
                <c:pt idx="10">
                  <c:v>1196.8800000000001</c:v>
                </c:pt>
                <c:pt idx="11">
                  <c:v>1309.95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8B8-462C-9058-D07DE4CF197C}"/>
            </c:ext>
          </c:extLst>
        </c:ser>
        <c:ser>
          <c:idx val="9"/>
          <c:order val="9"/>
          <c:tx>
            <c:strRef>
              <c:f>Sheet4!$A$11</c:f>
              <c:strCache>
                <c:ptCount val="1"/>
                <c:pt idx="0">
                  <c:v>jl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Sheet4!$B$1:$M$1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Sheet4!$B$11:$M$11</c:f>
              <c:numCache>
                <c:formatCode>"$"#,##0.00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78.73</c:v>
                </c:pt>
                <c:pt idx="8">
                  <c:v>112.69</c:v>
                </c:pt>
                <c:pt idx="9">
                  <c:v>103.97</c:v>
                </c:pt>
                <c:pt idx="10">
                  <c:v>99.17</c:v>
                </c:pt>
                <c:pt idx="11">
                  <c:v>118.87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8B8-462C-9058-D07DE4CF197C}"/>
            </c:ext>
          </c:extLst>
        </c:ser>
        <c:ser>
          <c:idx val="10"/>
          <c:order val="10"/>
          <c:tx>
            <c:strRef>
              <c:f>Sheet4!$A$12</c:f>
              <c:strCache>
                <c:ptCount val="1"/>
                <c:pt idx="0">
                  <c:v>stop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strRef>
              <c:f>Sheet4!$B$1:$M$1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Sheet4!$B$12:$M$12</c:f>
              <c:numCache>
                <c:formatCode>"$"#,##0.00</c:formatCode>
                <c:ptCount val="12"/>
                <c:pt idx="0">
                  <c:v>170.7</c:v>
                </c:pt>
                <c:pt idx="1">
                  <c:v>163.01</c:v>
                </c:pt>
                <c:pt idx="2">
                  <c:v>161.75</c:v>
                </c:pt>
                <c:pt idx="3">
                  <c:v>159.13</c:v>
                </c:pt>
                <c:pt idx="4">
                  <c:v>160.16</c:v>
                </c:pt>
                <c:pt idx="5">
                  <c:v>161.05000000000001</c:v>
                </c:pt>
                <c:pt idx="6">
                  <c:v>52.2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63-4ED4-9F2D-75406BF3D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862624"/>
        <c:axId val="541877504"/>
      </c:areaChart>
      <c:catAx>
        <c:axId val="541862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877504"/>
        <c:crosses val="autoZero"/>
        <c:auto val="1"/>
        <c:lblAlgn val="ctr"/>
        <c:lblOffset val="100"/>
        <c:noMultiLvlLbl val="0"/>
      </c:catAx>
      <c:valAx>
        <c:axId val="54187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862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Sheet4!$A$2:$A$12</c:f>
              <c:strCache>
                <c:ptCount val="11"/>
                <c:pt idx="0">
                  <c:v>ss</c:v>
                </c:pt>
                <c:pt idx="1">
                  <c:v>sw</c:v>
                </c:pt>
                <c:pt idx="2">
                  <c:v>ab</c:v>
                </c:pt>
                <c:pt idx="3">
                  <c:v>tca</c:v>
                </c:pt>
                <c:pt idx="4">
                  <c:v>dc</c:v>
                </c:pt>
                <c:pt idx="5">
                  <c:v>hwcg</c:v>
                </c:pt>
                <c:pt idx="6">
                  <c:v>asp</c:v>
                </c:pt>
                <c:pt idx="7">
                  <c:v>cw</c:v>
                </c:pt>
                <c:pt idx="8">
                  <c:v>bma</c:v>
                </c:pt>
                <c:pt idx="9">
                  <c:v>jl</c:v>
                </c:pt>
                <c:pt idx="10">
                  <c:v>stop</c:v>
                </c:pt>
              </c:strCache>
            </c:strRef>
          </c:cat>
          <c:val>
            <c:numRef>
              <c:f>Sheet4!$B$2:$B$12</c:f>
              <c:numCache>
                <c:formatCode>"$"#,##0.00</c:formatCode>
                <c:ptCount val="11"/>
                <c:pt idx="0">
                  <c:v>56675.43</c:v>
                </c:pt>
                <c:pt idx="1">
                  <c:v>50711.74</c:v>
                </c:pt>
                <c:pt idx="2">
                  <c:v>23546.37</c:v>
                </c:pt>
                <c:pt idx="3">
                  <c:v>16919.830000000002</c:v>
                </c:pt>
                <c:pt idx="4">
                  <c:v>6397.31</c:v>
                </c:pt>
                <c:pt idx="5">
                  <c:v>4860.3900000000003</c:v>
                </c:pt>
                <c:pt idx="6">
                  <c:v>9483.17</c:v>
                </c:pt>
                <c:pt idx="7">
                  <c:v>11822.44</c:v>
                </c:pt>
                <c:pt idx="8">
                  <c:v>466.73</c:v>
                </c:pt>
                <c:pt idx="9">
                  <c:v>0</c:v>
                </c:pt>
                <c:pt idx="10">
                  <c:v>170.7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52-4243-8353-E7D0CF031432}"/>
            </c:ext>
          </c:extLst>
        </c:ser>
        <c:ser>
          <c:idx val="1"/>
          <c:order val="1"/>
          <c:tx>
            <c:strRef>
              <c:f>Sheet4!$C$1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Sheet4!$A$2:$A$12</c:f>
              <c:strCache>
                <c:ptCount val="11"/>
                <c:pt idx="0">
                  <c:v>ss</c:v>
                </c:pt>
                <c:pt idx="1">
                  <c:v>sw</c:v>
                </c:pt>
                <c:pt idx="2">
                  <c:v>ab</c:v>
                </c:pt>
                <c:pt idx="3">
                  <c:v>tca</c:v>
                </c:pt>
                <c:pt idx="4">
                  <c:v>dc</c:v>
                </c:pt>
                <c:pt idx="5">
                  <c:v>hwcg</c:v>
                </c:pt>
                <c:pt idx="6">
                  <c:v>asp</c:v>
                </c:pt>
                <c:pt idx="7">
                  <c:v>cw</c:v>
                </c:pt>
                <c:pt idx="8">
                  <c:v>bma</c:v>
                </c:pt>
                <c:pt idx="9">
                  <c:v>jl</c:v>
                </c:pt>
                <c:pt idx="10">
                  <c:v>stop</c:v>
                </c:pt>
              </c:strCache>
            </c:strRef>
          </c:cat>
          <c:val>
            <c:numRef>
              <c:f>Sheet4!$C$2:$C$12</c:f>
              <c:numCache>
                <c:formatCode>"$"#,##0.00</c:formatCode>
                <c:ptCount val="11"/>
                <c:pt idx="0">
                  <c:v>58058.91</c:v>
                </c:pt>
                <c:pt idx="1">
                  <c:v>47178.45</c:v>
                </c:pt>
                <c:pt idx="2">
                  <c:v>23871.07</c:v>
                </c:pt>
                <c:pt idx="3">
                  <c:v>16164.97</c:v>
                </c:pt>
                <c:pt idx="4">
                  <c:v>6579.44</c:v>
                </c:pt>
                <c:pt idx="5">
                  <c:v>4459.5</c:v>
                </c:pt>
                <c:pt idx="6">
                  <c:v>8834.7900000000009</c:v>
                </c:pt>
                <c:pt idx="7">
                  <c:v>11426.31</c:v>
                </c:pt>
                <c:pt idx="8">
                  <c:v>461.53</c:v>
                </c:pt>
                <c:pt idx="9">
                  <c:v>0</c:v>
                </c:pt>
                <c:pt idx="10">
                  <c:v>163.01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52-4243-8353-E7D0CF031432}"/>
            </c:ext>
          </c:extLst>
        </c:ser>
        <c:ser>
          <c:idx val="2"/>
          <c:order val="2"/>
          <c:tx>
            <c:strRef>
              <c:f>Sheet4!$D$1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Sheet4!$A$2:$A$12</c:f>
              <c:strCache>
                <c:ptCount val="11"/>
                <c:pt idx="0">
                  <c:v>ss</c:v>
                </c:pt>
                <c:pt idx="1">
                  <c:v>sw</c:v>
                </c:pt>
                <c:pt idx="2">
                  <c:v>ab</c:v>
                </c:pt>
                <c:pt idx="3">
                  <c:v>tca</c:v>
                </c:pt>
                <c:pt idx="4">
                  <c:v>dc</c:v>
                </c:pt>
                <c:pt idx="5">
                  <c:v>hwcg</c:v>
                </c:pt>
                <c:pt idx="6">
                  <c:v>asp</c:v>
                </c:pt>
                <c:pt idx="7">
                  <c:v>cw</c:v>
                </c:pt>
                <c:pt idx="8">
                  <c:v>bma</c:v>
                </c:pt>
                <c:pt idx="9">
                  <c:v>jl</c:v>
                </c:pt>
                <c:pt idx="10">
                  <c:v>stop</c:v>
                </c:pt>
              </c:strCache>
            </c:strRef>
          </c:cat>
          <c:val>
            <c:numRef>
              <c:f>Sheet4!$D$2:$D$12</c:f>
              <c:numCache>
                <c:formatCode>"$"#,##0.00</c:formatCode>
                <c:ptCount val="11"/>
                <c:pt idx="0">
                  <c:v>58030.04</c:v>
                </c:pt>
                <c:pt idx="1">
                  <c:v>51085.51</c:v>
                </c:pt>
                <c:pt idx="2">
                  <c:v>24518.1</c:v>
                </c:pt>
                <c:pt idx="3">
                  <c:v>15995.31</c:v>
                </c:pt>
                <c:pt idx="4">
                  <c:v>6336.91</c:v>
                </c:pt>
                <c:pt idx="5">
                  <c:v>3554.56</c:v>
                </c:pt>
                <c:pt idx="6">
                  <c:v>7674.76</c:v>
                </c:pt>
                <c:pt idx="7">
                  <c:v>10897.87</c:v>
                </c:pt>
                <c:pt idx="8">
                  <c:v>443.96</c:v>
                </c:pt>
                <c:pt idx="9">
                  <c:v>0</c:v>
                </c:pt>
                <c:pt idx="10">
                  <c:v>161.75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52-4243-8353-E7D0CF031432}"/>
            </c:ext>
          </c:extLst>
        </c:ser>
        <c:ser>
          <c:idx val="3"/>
          <c:order val="3"/>
          <c:tx>
            <c:strRef>
              <c:f>Sheet4!$E$1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Sheet4!$A$2:$A$12</c:f>
              <c:strCache>
                <c:ptCount val="11"/>
                <c:pt idx="0">
                  <c:v>ss</c:v>
                </c:pt>
                <c:pt idx="1">
                  <c:v>sw</c:v>
                </c:pt>
                <c:pt idx="2">
                  <c:v>ab</c:v>
                </c:pt>
                <c:pt idx="3">
                  <c:v>tca</c:v>
                </c:pt>
                <c:pt idx="4">
                  <c:v>dc</c:v>
                </c:pt>
                <c:pt idx="5">
                  <c:v>hwcg</c:v>
                </c:pt>
                <c:pt idx="6">
                  <c:v>asp</c:v>
                </c:pt>
                <c:pt idx="7">
                  <c:v>cw</c:v>
                </c:pt>
                <c:pt idx="8">
                  <c:v>bma</c:v>
                </c:pt>
                <c:pt idx="9">
                  <c:v>jl</c:v>
                </c:pt>
                <c:pt idx="10">
                  <c:v>stop</c:v>
                </c:pt>
              </c:strCache>
            </c:strRef>
          </c:cat>
          <c:val>
            <c:numRef>
              <c:f>Sheet4!$E$2:$E$12</c:f>
              <c:numCache>
                <c:formatCode>"$"#,##0.00</c:formatCode>
                <c:ptCount val="11"/>
                <c:pt idx="0">
                  <c:v>59672.17</c:v>
                </c:pt>
                <c:pt idx="1">
                  <c:v>51384.27</c:v>
                </c:pt>
                <c:pt idx="2">
                  <c:v>28452.82</c:v>
                </c:pt>
                <c:pt idx="3">
                  <c:v>16662.89</c:v>
                </c:pt>
                <c:pt idx="4">
                  <c:v>6601.21</c:v>
                </c:pt>
                <c:pt idx="5">
                  <c:v>3817.2</c:v>
                </c:pt>
                <c:pt idx="6">
                  <c:v>7811.46</c:v>
                </c:pt>
                <c:pt idx="7">
                  <c:v>11190.95</c:v>
                </c:pt>
                <c:pt idx="8">
                  <c:v>448.16</c:v>
                </c:pt>
                <c:pt idx="9">
                  <c:v>0</c:v>
                </c:pt>
                <c:pt idx="10">
                  <c:v>159.13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52-4243-8353-E7D0CF031432}"/>
            </c:ext>
          </c:extLst>
        </c:ser>
        <c:ser>
          <c:idx val="4"/>
          <c:order val="4"/>
          <c:tx>
            <c:strRef>
              <c:f>Sheet4!$F$1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Sheet4!$A$2:$A$12</c:f>
              <c:strCache>
                <c:ptCount val="11"/>
                <c:pt idx="0">
                  <c:v>ss</c:v>
                </c:pt>
                <c:pt idx="1">
                  <c:v>sw</c:v>
                </c:pt>
                <c:pt idx="2">
                  <c:v>ab</c:v>
                </c:pt>
                <c:pt idx="3">
                  <c:v>tca</c:v>
                </c:pt>
                <c:pt idx="4">
                  <c:v>dc</c:v>
                </c:pt>
                <c:pt idx="5">
                  <c:v>hwcg</c:v>
                </c:pt>
                <c:pt idx="6">
                  <c:v>asp</c:v>
                </c:pt>
                <c:pt idx="7">
                  <c:v>cw</c:v>
                </c:pt>
                <c:pt idx="8">
                  <c:v>bma</c:v>
                </c:pt>
                <c:pt idx="9">
                  <c:v>jl</c:v>
                </c:pt>
                <c:pt idx="10">
                  <c:v>stop</c:v>
                </c:pt>
              </c:strCache>
            </c:strRef>
          </c:cat>
          <c:val>
            <c:numRef>
              <c:f>Sheet4!$F$2:$F$12</c:f>
              <c:numCache>
                <c:formatCode>"$"#,##0.00</c:formatCode>
                <c:ptCount val="11"/>
                <c:pt idx="0">
                  <c:v>60921.52</c:v>
                </c:pt>
                <c:pt idx="1">
                  <c:v>50095.14</c:v>
                </c:pt>
                <c:pt idx="2">
                  <c:v>27529.56</c:v>
                </c:pt>
                <c:pt idx="3">
                  <c:v>17323.150000000001</c:v>
                </c:pt>
                <c:pt idx="4">
                  <c:v>6603.07</c:v>
                </c:pt>
                <c:pt idx="5">
                  <c:v>3957.67</c:v>
                </c:pt>
                <c:pt idx="6">
                  <c:v>7609.76</c:v>
                </c:pt>
                <c:pt idx="7">
                  <c:v>11499.71</c:v>
                </c:pt>
                <c:pt idx="8">
                  <c:v>458.12</c:v>
                </c:pt>
                <c:pt idx="9">
                  <c:v>0</c:v>
                </c:pt>
                <c:pt idx="10">
                  <c:v>160.16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52-4243-8353-E7D0CF031432}"/>
            </c:ext>
          </c:extLst>
        </c:ser>
        <c:ser>
          <c:idx val="5"/>
          <c:order val="5"/>
          <c:tx>
            <c:strRef>
              <c:f>Sheet4!$G$1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Sheet4!$A$2:$A$12</c:f>
              <c:strCache>
                <c:ptCount val="11"/>
                <c:pt idx="0">
                  <c:v>ss</c:v>
                </c:pt>
                <c:pt idx="1">
                  <c:v>sw</c:v>
                </c:pt>
                <c:pt idx="2">
                  <c:v>ab</c:v>
                </c:pt>
                <c:pt idx="3">
                  <c:v>tca</c:v>
                </c:pt>
                <c:pt idx="4">
                  <c:v>dc</c:v>
                </c:pt>
                <c:pt idx="5">
                  <c:v>hwcg</c:v>
                </c:pt>
                <c:pt idx="6">
                  <c:v>asp</c:v>
                </c:pt>
                <c:pt idx="7">
                  <c:v>cw</c:v>
                </c:pt>
                <c:pt idx="8">
                  <c:v>bma</c:v>
                </c:pt>
                <c:pt idx="9">
                  <c:v>jl</c:v>
                </c:pt>
                <c:pt idx="10">
                  <c:v>stop</c:v>
                </c:pt>
              </c:strCache>
            </c:strRef>
          </c:cat>
          <c:val>
            <c:numRef>
              <c:f>Sheet4!$G$2:$G$12</c:f>
              <c:numCache>
                <c:formatCode>"$"#,##0.00</c:formatCode>
                <c:ptCount val="11"/>
                <c:pt idx="0">
                  <c:v>59802.94</c:v>
                </c:pt>
                <c:pt idx="1">
                  <c:v>50114.04</c:v>
                </c:pt>
                <c:pt idx="2">
                  <c:v>35812.1</c:v>
                </c:pt>
                <c:pt idx="3">
                  <c:v>18654.78</c:v>
                </c:pt>
                <c:pt idx="4">
                  <c:v>6434.35</c:v>
                </c:pt>
                <c:pt idx="5">
                  <c:v>4296.8500000000004</c:v>
                </c:pt>
                <c:pt idx="6">
                  <c:v>7183.23</c:v>
                </c:pt>
                <c:pt idx="7">
                  <c:v>10991.67</c:v>
                </c:pt>
                <c:pt idx="8">
                  <c:v>443.29</c:v>
                </c:pt>
                <c:pt idx="9">
                  <c:v>0</c:v>
                </c:pt>
                <c:pt idx="10">
                  <c:v>161.05000000000001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52-4243-8353-E7D0CF031432}"/>
            </c:ext>
          </c:extLst>
        </c:ser>
        <c:ser>
          <c:idx val="6"/>
          <c:order val="6"/>
          <c:tx>
            <c:strRef>
              <c:f>Sheet4!$H$1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Sheet4!$A$2:$A$12</c:f>
              <c:strCache>
                <c:ptCount val="11"/>
                <c:pt idx="0">
                  <c:v>ss</c:v>
                </c:pt>
                <c:pt idx="1">
                  <c:v>sw</c:v>
                </c:pt>
                <c:pt idx="2">
                  <c:v>ab</c:v>
                </c:pt>
                <c:pt idx="3">
                  <c:v>tca</c:v>
                </c:pt>
                <c:pt idx="4">
                  <c:v>dc</c:v>
                </c:pt>
                <c:pt idx="5">
                  <c:v>hwcg</c:v>
                </c:pt>
                <c:pt idx="6">
                  <c:v>asp</c:v>
                </c:pt>
                <c:pt idx="7">
                  <c:v>cw</c:v>
                </c:pt>
                <c:pt idx="8">
                  <c:v>bma</c:v>
                </c:pt>
                <c:pt idx="9">
                  <c:v>jl</c:v>
                </c:pt>
                <c:pt idx="10">
                  <c:v>stop</c:v>
                </c:pt>
              </c:strCache>
            </c:strRef>
          </c:cat>
          <c:val>
            <c:numRef>
              <c:f>Sheet4!$H$2:$H$12</c:f>
              <c:numCache>
                <c:formatCode>"$"#,##0.00</c:formatCode>
                <c:ptCount val="11"/>
                <c:pt idx="0">
                  <c:v>62115.03</c:v>
                </c:pt>
                <c:pt idx="1">
                  <c:v>52828.53</c:v>
                </c:pt>
                <c:pt idx="2">
                  <c:v>30055.79</c:v>
                </c:pt>
                <c:pt idx="3">
                  <c:v>18616.68</c:v>
                </c:pt>
                <c:pt idx="4">
                  <c:v>6687.86</c:v>
                </c:pt>
                <c:pt idx="5">
                  <c:v>4282.04</c:v>
                </c:pt>
                <c:pt idx="6">
                  <c:v>7560.49</c:v>
                </c:pt>
                <c:pt idx="7">
                  <c:v>11336.26</c:v>
                </c:pt>
                <c:pt idx="8">
                  <c:v>450.08</c:v>
                </c:pt>
                <c:pt idx="9">
                  <c:v>0</c:v>
                </c:pt>
                <c:pt idx="10">
                  <c:v>52.2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52-4243-8353-E7D0CF031432}"/>
            </c:ext>
          </c:extLst>
        </c:ser>
        <c:ser>
          <c:idx val="7"/>
          <c:order val="7"/>
          <c:tx>
            <c:strRef>
              <c:f>Sheet4!$I$1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Sheet4!$A$2:$A$12</c:f>
              <c:strCache>
                <c:ptCount val="11"/>
                <c:pt idx="0">
                  <c:v>ss</c:v>
                </c:pt>
                <c:pt idx="1">
                  <c:v>sw</c:v>
                </c:pt>
                <c:pt idx="2">
                  <c:v>ab</c:v>
                </c:pt>
                <c:pt idx="3">
                  <c:v>tca</c:v>
                </c:pt>
                <c:pt idx="4">
                  <c:v>dc</c:v>
                </c:pt>
                <c:pt idx="5">
                  <c:v>hwcg</c:v>
                </c:pt>
                <c:pt idx="6">
                  <c:v>asp</c:v>
                </c:pt>
                <c:pt idx="7">
                  <c:v>cw</c:v>
                </c:pt>
                <c:pt idx="8">
                  <c:v>bma</c:v>
                </c:pt>
                <c:pt idx="9">
                  <c:v>jl</c:v>
                </c:pt>
                <c:pt idx="10">
                  <c:v>stop</c:v>
                </c:pt>
              </c:strCache>
            </c:strRef>
          </c:cat>
          <c:val>
            <c:numRef>
              <c:f>Sheet4!$I$2:$I$12</c:f>
              <c:numCache>
                <c:formatCode>"$"#,##0.00</c:formatCode>
                <c:ptCount val="11"/>
                <c:pt idx="0">
                  <c:v>63844.59</c:v>
                </c:pt>
                <c:pt idx="1">
                  <c:v>53638</c:v>
                </c:pt>
                <c:pt idx="2">
                  <c:v>29046.43</c:v>
                </c:pt>
                <c:pt idx="3">
                  <c:v>18137.75</c:v>
                </c:pt>
                <c:pt idx="4">
                  <c:v>6489.85</c:v>
                </c:pt>
                <c:pt idx="5">
                  <c:v>4245.38</c:v>
                </c:pt>
                <c:pt idx="6">
                  <c:v>7354.82</c:v>
                </c:pt>
                <c:pt idx="7">
                  <c:v>10534.29</c:v>
                </c:pt>
                <c:pt idx="8">
                  <c:v>1027.5899999999999</c:v>
                </c:pt>
                <c:pt idx="9">
                  <c:v>78.73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B52-4243-8353-E7D0CF031432}"/>
            </c:ext>
          </c:extLst>
        </c:ser>
        <c:ser>
          <c:idx val="8"/>
          <c:order val="8"/>
          <c:tx>
            <c:strRef>
              <c:f>Sheet4!$J$1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Sheet4!$A$2:$A$12</c:f>
              <c:strCache>
                <c:ptCount val="11"/>
                <c:pt idx="0">
                  <c:v>ss</c:v>
                </c:pt>
                <c:pt idx="1">
                  <c:v>sw</c:v>
                </c:pt>
                <c:pt idx="2">
                  <c:v>ab</c:v>
                </c:pt>
                <c:pt idx="3">
                  <c:v>tca</c:v>
                </c:pt>
                <c:pt idx="4">
                  <c:v>dc</c:v>
                </c:pt>
                <c:pt idx="5">
                  <c:v>hwcg</c:v>
                </c:pt>
                <c:pt idx="6">
                  <c:v>asp</c:v>
                </c:pt>
                <c:pt idx="7">
                  <c:v>cw</c:v>
                </c:pt>
                <c:pt idx="8">
                  <c:v>bma</c:v>
                </c:pt>
                <c:pt idx="9">
                  <c:v>jl</c:v>
                </c:pt>
                <c:pt idx="10">
                  <c:v>stop</c:v>
                </c:pt>
              </c:strCache>
            </c:strRef>
          </c:cat>
          <c:val>
            <c:numRef>
              <c:f>Sheet4!$J$2:$J$12</c:f>
              <c:numCache>
                <c:formatCode>"$"#,##0.00</c:formatCode>
                <c:ptCount val="11"/>
                <c:pt idx="0">
                  <c:v>64214.81</c:v>
                </c:pt>
                <c:pt idx="1">
                  <c:v>57385.32</c:v>
                </c:pt>
                <c:pt idx="2">
                  <c:v>31059.39</c:v>
                </c:pt>
                <c:pt idx="3">
                  <c:v>19901.41</c:v>
                </c:pt>
                <c:pt idx="4">
                  <c:v>6090.15</c:v>
                </c:pt>
                <c:pt idx="5">
                  <c:v>4516.9399999999996</c:v>
                </c:pt>
                <c:pt idx="6">
                  <c:v>7170.44</c:v>
                </c:pt>
                <c:pt idx="7">
                  <c:v>12673.99</c:v>
                </c:pt>
                <c:pt idx="8">
                  <c:v>1417.97</c:v>
                </c:pt>
                <c:pt idx="9">
                  <c:v>112.69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B52-4243-8353-E7D0CF031432}"/>
            </c:ext>
          </c:extLst>
        </c:ser>
        <c:ser>
          <c:idx val="9"/>
          <c:order val="9"/>
          <c:tx>
            <c:strRef>
              <c:f>Sheet4!$K$1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Sheet4!$A$2:$A$12</c:f>
              <c:strCache>
                <c:ptCount val="11"/>
                <c:pt idx="0">
                  <c:v>ss</c:v>
                </c:pt>
                <c:pt idx="1">
                  <c:v>sw</c:v>
                </c:pt>
                <c:pt idx="2">
                  <c:v>ab</c:v>
                </c:pt>
                <c:pt idx="3">
                  <c:v>tca</c:v>
                </c:pt>
                <c:pt idx="4">
                  <c:v>dc</c:v>
                </c:pt>
                <c:pt idx="5">
                  <c:v>hwcg</c:v>
                </c:pt>
                <c:pt idx="6">
                  <c:v>asp</c:v>
                </c:pt>
                <c:pt idx="7">
                  <c:v>cw</c:v>
                </c:pt>
                <c:pt idx="8">
                  <c:v>bma</c:v>
                </c:pt>
                <c:pt idx="9">
                  <c:v>jl</c:v>
                </c:pt>
                <c:pt idx="10">
                  <c:v>stop</c:v>
                </c:pt>
              </c:strCache>
            </c:strRef>
          </c:cat>
          <c:val>
            <c:numRef>
              <c:f>Sheet4!$K$2:$K$12</c:f>
              <c:numCache>
                <c:formatCode>"$"#,##0.00</c:formatCode>
                <c:ptCount val="11"/>
                <c:pt idx="0">
                  <c:v>76920.990000000005</c:v>
                </c:pt>
                <c:pt idx="1">
                  <c:v>49506.12</c:v>
                </c:pt>
                <c:pt idx="2">
                  <c:v>26301.82</c:v>
                </c:pt>
                <c:pt idx="3">
                  <c:v>16742.66</c:v>
                </c:pt>
                <c:pt idx="4">
                  <c:v>5896.16</c:v>
                </c:pt>
                <c:pt idx="5">
                  <c:v>4287.5</c:v>
                </c:pt>
                <c:pt idx="6">
                  <c:v>6102.65</c:v>
                </c:pt>
                <c:pt idx="7">
                  <c:v>4357.0200000000004</c:v>
                </c:pt>
                <c:pt idx="8">
                  <c:v>1300.5999999999999</c:v>
                </c:pt>
                <c:pt idx="9">
                  <c:v>103.97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B52-4243-8353-E7D0CF031432}"/>
            </c:ext>
          </c:extLst>
        </c:ser>
        <c:ser>
          <c:idx val="10"/>
          <c:order val="10"/>
          <c:tx>
            <c:strRef>
              <c:f>Sheet4!$L$1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Sheet4!$A$2:$A$12</c:f>
              <c:strCache>
                <c:ptCount val="11"/>
                <c:pt idx="0">
                  <c:v>ss</c:v>
                </c:pt>
                <c:pt idx="1">
                  <c:v>sw</c:v>
                </c:pt>
                <c:pt idx="2">
                  <c:v>ab</c:v>
                </c:pt>
                <c:pt idx="3">
                  <c:v>tca</c:v>
                </c:pt>
                <c:pt idx="4">
                  <c:v>dc</c:v>
                </c:pt>
                <c:pt idx="5">
                  <c:v>hwcg</c:v>
                </c:pt>
                <c:pt idx="6">
                  <c:v>asp</c:v>
                </c:pt>
                <c:pt idx="7">
                  <c:v>cw</c:v>
                </c:pt>
                <c:pt idx="8">
                  <c:v>bma</c:v>
                </c:pt>
                <c:pt idx="9">
                  <c:v>jl</c:v>
                </c:pt>
                <c:pt idx="10">
                  <c:v>stop</c:v>
                </c:pt>
              </c:strCache>
            </c:strRef>
          </c:cat>
          <c:val>
            <c:numRef>
              <c:f>Sheet4!$L$2:$L$12</c:f>
              <c:numCache>
                <c:formatCode>"$"#,##0.00</c:formatCode>
                <c:ptCount val="11"/>
                <c:pt idx="0">
                  <c:v>70836.639999999999</c:v>
                </c:pt>
                <c:pt idx="1">
                  <c:v>47233.43</c:v>
                </c:pt>
                <c:pt idx="2">
                  <c:v>26849.51</c:v>
                </c:pt>
                <c:pt idx="3">
                  <c:v>16642.849999999999</c:v>
                </c:pt>
                <c:pt idx="4">
                  <c:v>4936.88</c:v>
                </c:pt>
                <c:pt idx="5">
                  <c:v>4269.38</c:v>
                </c:pt>
                <c:pt idx="6">
                  <c:v>4805.28</c:v>
                </c:pt>
                <c:pt idx="7">
                  <c:v>3696.47</c:v>
                </c:pt>
                <c:pt idx="8">
                  <c:v>1196.8800000000001</c:v>
                </c:pt>
                <c:pt idx="9">
                  <c:v>99.17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B-4AFE-B1A4-D42D2C04E359}"/>
            </c:ext>
          </c:extLst>
        </c:ser>
        <c:ser>
          <c:idx val="11"/>
          <c:order val="11"/>
          <c:tx>
            <c:strRef>
              <c:f>Sheet4!$M$1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Sheet4!$A$2:$A$12</c:f>
              <c:strCache>
                <c:ptCount val="11"/>
                <c:pt idx="0">
                  <c:v>ss</c:v>
                </c:pt>
                <c:pt idx="1">
                  <c:v>sw</c:v>
                </c:pt>
                <c:pt idx="2">
                  <c:v>ab</c:v>
                </c:pt>
                <c:pt idx="3">
                  <c:v>tca</c:v>
                </c:pt>
                <c:pt idx="4">
                  <c:v>dc</c:v>
                </c:pt>
                <c:pt idx="5">
                  <c:v>hwcg</c:v>
                </c:pt>
                <c:pt idx="6">
                  <c:v>asp</c:v>
                </c:pt>
                <c:pt idx="7">
                  <c:v>cw</c:v>
                </c:pt>
                <c:pt idx="8">
                  <c:v>bma</c:v>
                </c:pt>
                <c:pt idx="9">
                  <c:v>jl</c:v>
                </c:pt>
                <c:pt idx="10">
                  <c:v>stop</c:v>
                </c:pt>
              </c:strCache>
            </c:strRef>
          </c:cat>
          <c:val>
            <c:numRef>
              <c:f>Sheet4!$M$2:$M$12</c:f>
              <c:numCache>
                <c:formatCode>"$"#,##0.00</c:formatCode>
                <c:ptCount val="11"/>
                <c:pt idx="0">
                  <c:v>77585.070000000007</c:v>
                </c:pt>
                <c:pt idx="1">
                  <c:v>55519.57</c:v>
                </c:pt>
                <c:pt idx="2">
                  <c:v>28714.720000000001</c:v>
                </c:pt>
                <c:pt idx="3">
                  <c:v>17669.71</c:v>
                </c:pt>
                <c:pt idx="4">
                  <c:v>4982.84</c:v>
                </c:pt>
                <c:pt idx="5">
                  <c:v>4533.7299999999996</c:v>
                </c:pt>
                <c:pt idx="6">
                  <c:v>4445.18</c:v>
                </c:pt>
                <c:pt idx="7">
                  <c:v>4034.71</c:v>
                </c:pt>
                <c:pt idx="8">
                  <c:v>1309.95</c:v>
                </c:pt>
                <c:pt idx="9">
                  <c:v>118.87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C0-496D-BFC2-F53DFD37F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8"/>
        <c:axId val="508957264"/>
        <c:axId val="508950544"/>
      </c:barChart>
      <c:catAx>
        <c:axId val="50895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950544"/>
        <c:crosses val="autoZero"/>
        <c:auto val="1"/>
        <c:lblAlgn val="ctr"/>
        <c:lblOffset val="100"/>
        <c:noMultiLvlLbl val="0"/>
      </c:catAx>
      <c:valAx>
        <c:axId val="50895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95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</xdr:colOff>
      <xdr:row>14</xdr:row>
      <xdr:rowOff>14287</xdr:rowOff>
    </xdr:from>
    <xdr:to>
      <xdr:col>24</xdr:col>
      <xdr:colOff>28574</xdr:colOff>
      <xdr:row>45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1AF261-ACEB-4E45-D8D5-4094FEAB36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266699</xdr:colOff>
      <xdr:row>48</xdr:row>
      <xdr:rowOff>85725</xdr:rowOff>
    </xdr:from>
    <xdr:to>
      <xdr:col>24</xdr:col>
      <xdr:colOff>238124</xdr:colOff>
      <xdr:row>79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4B62DFE-4183-2C5B-C7B1-486D2C4A25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CA6697A-8073-4111-9C04-DAB37C9731E8}" autoFormatId="16" applyNumberFormats="0" applyBorderFormats="0" applyFontFormats="0" applyPatternFormats="0" applyAlignmentFormats="0" applyWidthHeightFormats="0">
  <queryTableRefresh nextId="126">
    <queryTableFields count="13">
      <queryTableField id="1" name="Month" tableColumnId="1"/>
      <queryTableField id="16" name="Dec" tableColumnId="12"/>
      <queryTableField id="2" name="Jan" tableColumnId="2"/>
      <queryTableField id="3" name="Feb" tableColumnId="3"/>
      <queryTableField id="4" name="Mar" tableColumnId="4"/>
      <queryTableField id="5" name="Apr" tableColumnId="5"/>
      <queryTableField id="6" name="May" tableColumnId="6"/>
      <queryTableField id="7" name="Jun" tableColumnId="7"/>
      <queryTableField id="8" name="Jul" tableColumnId="8"/>
      <queryTableField id="9" name="Aug" tableColumnId="9"/>
      <queryTableField id="10" name="Sep" tableColumnId="10"/>
      <queryTableField id="11" name="Oct" tableColumnId="11"/>
      <queryTableField id="14" name="Nov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1BD7A0E-4CD7-4593-A0B5-0845F12C2C42}" autoFormatId="16" applyNumberFormats="0" applyBorderFormats="0" applyFontFormats="0" applyPatternFormats="0" applyAlignmentFormats="0" applyWidthHeightFormats="0">
  <queryTableRefresh nextId="126">
    <queryTableFields count="13">
      <queryTableField id="1" name="Month" tableColumnId="1"/>
      <queryTableField id="16" name="Dec" tableColumnId="12"/>
      <queryTableField id="2" name="Jan" tableColumnId="2"/>
      <queryTableField id="3" name="Feb" tableColumnId="3"/>
      <queryTableField id="4" name="Mar" tableColumnId="4"/>
      <queryTableField id="5" name="Apr" tableColumnId="5"/>
      <queryTableField id="6" name="May" tableColumnId="6"/>
      <queryTableField id="7" name="Jun" tableColumnId="7"/>
      <queryTableField id="8" name="Jul" tableColumnId="8"/>
      <queryTableField id="9" name="Aug" tableColumnId="9"/>
      <queryTableField id="10" name="Sep" tableColumnId="10"/>
      <queryTableField id="11" name="Oct" tableColumnId="11"/>
      <queryTableField id="14" name="Nov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61B74D0-837B-43C3-B3DC-9FF574F56387}" autoFormatId="16" applyNumberFormats="0" applyBorderFormats="0" applyFontFormats="0" applyPatternFormats="0" applyAlignmentFormats="0" applyWidthHeightFormats="0">
  <queryTableRefresh nextId="126">
    <queryTableFields count="13">
      <queryTableField id="1" name="Month" tableColumnId="1"/>
      <queryTableField id="16" name="Dec" tableColumnId="12"/>
      <queryTableField id="2" name="Jan" tableColumnId="2"/>
      <queryTableField id="3" name="Feb" tableColumnId="3"/>
      <queryTableField id="4" name="Mar" tableColumnId="4"/>
      <queryTableField id="5" name="Apr" tableColumnId="5"/>
      <queryTableField id="6" name="May" tableColumnId="6"/>
      <queryTableField id="7" name="Jun" tableColumnId="7"/>
      <queryTableField id="8" name="Jul" tableColumnId="8"/>
      <queryTableField id="9" name="Aug" tableColumnId="9"/>
      <queryTableField id="10" name="Sep" tableColumnId="10"/>
      <queryTableField id="11" name="Oct" tableColumnId="11"/>
      <queryTableField id="14" name="Nov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F523AA-344D-4E6F-8B61-A96445C7565E}" name="aws_spend" displayName="aws_spend" ref="A1:M14" tableType="queryTable" totalsRowShown="0">
  <autoFilter ref="A1:M14" xr:uid="{F0F523AA-344D-4E6F-8B61-A96445C7565E}"/>
  <tableColumns count="13">
    <tableColumn id="1" xr3:uid="{4B7F7ACE-F8A0-4EB0-8396-DDC1F03A99D9}" uniqueName="1" name="Month" queryTableFieldId="1" dataDxfId="44"/>
    <tableColumn id="12" xr3:uid="{F7A81B72-C52C-4367-95EA-05178E022033}" uniqueName="12" name="Dec" queryTableFieldId="16" dataDxfId="43"/>
    <tableColumn id="2" xr3:uid="{9CE15822-8C21-4987-9EF0-147BA0B69E46}" uniqueName="2" name="Jan" queryTableFieldId="2"/>
    <tableColumn id="3" xr3:uid="{BBB1E7BF-3456-4B0D-9F1E-985768301D5C}" uniqueName="3" name="Feb" queryTableFieldId="3"/>
    <tableColumn id="4" xr3:uid="{837CF6C1-1F00-4D4F-B0FD-C61DAD97D573}" uniqueName="4" name="Mar" queryTableFieldId="4"/>
    <tableColumn id="5" xr3:uid="{EE1EA4F8-A2C0-428F-A91E-D13AB3727074}" uniqueName="5" name="Apr" queryTableFieldId="5"/>
    <tableColumn id="6" xr3:uid="{F5CA9D71-20D9-4031-B72C-A93D85B97DF6}" uniqueName="6" name="May" queryTableFieldId="6"/>
    <tableColumn id="7" xr3:uid="{FC478D26-1549-45FE-9F9A-AA3E326F7FAC}" uniqueName="7" name="Jun" queryTableFieldId="7"/>
    <tableColumn id="8" xr3:uid="{901027DD-D063-4A2B-8DBD-1D5ED038EC6F}" uniqueName="8" name="Jul" queryTableFieldId="8"/>
    <tableColumn id="9" xr3:uid="{07D721B5-DC9E-4812-BC73-E6F9AAA38B7D}" uniqueName="9" name="Aug" queryTableFieldId="9"/>
    <tableColumn id="10" xr3:uid="{113F0882-57F3-43A0-BDC2-20E68A83CBC7}" uniqueName="10" name="Sep" queryTableFieldId="10" dataDxfId="42"/>
    <tableColumn id="11" xr3:uid="{B4AC263D-292E-4F52-BB27-E1C10088D60A}" uniqueName="11" name="Oct" queryTableFieldId="11" dataDxfId="41"/>
    <tableColumn id="13" xr3:uid="{53CF45DB-2D38-4411-A173-900F32526D08}" uniqueName="13" name="Nov" queryTableFieldId="14" dataDxfId="4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DB9824-5124-489F-98E0-3C21611341FD}" name="aws_spend_top_services" displayName="aws_spend_top_services" ref="A1:M12" tableType="queryTable" totalsRowShown="0">
  <autoFilter ref="A1:M12" xr:uid="{C4DB9824-5124-489F-98E0-3C21611341FD}"/>
  <tableColumns count="13">
    <tableColumn id="1" xr3:uid="{1F29519F-F058-4105-A867-CE67E3812B18}" uniqueName="1" name="Month" queryTableFieldId="1" dataDxfId="39"/>
    <tableColumn id="12" xr3:uid="{CFF4B288-8265-45D4-AB0B-95709F17A9D3}" uniqueName="12" name="Dec" queryTableFieldId="16" dataDxfId="38"/>
    <tableColumn id="2" xr3:uid="{B1D0398B-21D8-4FDC-8C4B-4F2D12914276}" uniqueName="2" name="Jan" queryTableFieldId="2"/>
    <tableColumn id="3" xr3:uid="{3FDF574B-B807-4F9D-BACE-A8EE7DEC3A42}" uniqueName="3" name="Feb" queryTableFieldId="3"/>
    <tableColumn id="4" xr3:uid="{73F1CF43-2ACB-408E-9DA0-4F4CBFB744B6}" uniqueName="4" name="Mar" queryTableFieldId="4"/>
    <tableColumn id="5" xr3:uid="{1173D81C-0978-40D3-8B7A-1545F825DC2E}" uniqueName="5" name="Apr" queryTableFieldId="5"/>
    <tableColumn id="6" xr3:uid="{0C6BBE67-9DAE-45BD-BD2B-88B478A28722}" uniqueName="6" name="May" queryTableFieldId="6"/>
    <tableColumn id="7" xr3:uid="{68E8AC16-C5FC-412D-A446-F1A275203ECB}" uniqueName="7" name="Jun" queryTableFieldId="7"/>
    <tableColumn id="8" xr3:uid="{7DC8331B-4EF5-488E-9A65-F0124D445FB5}" uniqueName="8" name="Jul" queryTableFieldId="8"/>
    <tableColumn id="9" xr3:uid="{82AD6389-38A6-454B-8243-557F7EC3B0DB}" uniqueName="9" name="Aug" queryTableFieldId="9"/>
    <tableColumn id="10" xr3:uid="{B1DF9915-0462-4D3D-AA20-3E08ECE93AB8}" uniqueName="10" name="Sep" queryTableFieldId="10" dataDxfId="37"/>
    <tableColumn id="11" xr3:uid="{306590BA-7CF0-4F59-ACF6-C0E3F286F27E}" uniqueName="11" name="Oct" queryTableFieldId="11" dataDxfId="36"/>
    <tableColumn id="13" xr3:uid="{E477FCEE-C98C-4932-9C21-424D14D0FA48}" uniqueName="13" name="Nov" queryTableFieldId="14" dataDxfId="3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FFDBB1-93A4-4109-A9D3-6AB3EF72A06F}" name="aws_spend_top_accounts" displayName="aws_spend_top_accounts" ref="A1:M12" tableType="queryTable" totalsRowShown="0">
  <autoFilter ref="A1:M12" xr:uid="{1CFFDBB1-93A4-4109-A9D3-6AB3EF72A06F}"/>
  <tableColumns count="13">
    <tableColumn id="1" xr3:uid="{6A671CB3-D9D0-4C65-806A-9F1565849D59}" uniqueName="1" name="Month" queryTableFieldId="1" dataDxfId="34"/>
    <tableColumn id="12" xr3:uid="{C5D6E716-229E-4A63-94E1-8934DAB048A7}" uniqueName="12" name="Dec" queryTableFieldId="16" dataDxfId="33"/>
    <tableColumn id="2" xr3:uid="{1591DBEF-7EA1-4183-81A9-5128108B0F0E}" uniqueName="2" name="Jan" queryTableFieldId="2"/>
    <tableColumn id="3" xr3:uid="{2BA6D4D3-2115-42F3-899B-AA7F6959E72F}" uniqueName="3" name="Feb" queryTableFieldId="3"/>
    <tableColumn id="4" xr3:uid="{CE026406-913F-4B83-AEC2-EACA57A1ABF0}" uniqueName="4" name="Mar" queryTableFieldId="4"/>
    <tableColumn id="5" xr3:uid="{3483D578-39E7-4A0F-8925-CCA4779D1520}" uniqueName="5" name="Apr" queryTableFieldId="5"/>
    <tableColumn id="6" xr3:uid="{CB0F6B2E-D08B-40EE-BD80-20897CCADB5D}" uniqueName="6" name="May" queryTableFieldId="6"/>
    <tableColumn id="7" xr3:uid="{CB62B8F9-AFCE-485A-8E78-6ACB8F44C213}" uniqueName="7" name="Jun" queryTableFieldId="7"/>
    <tableColumn id="8" xr3:uid="{9B6B4854-2D4C-4AE1-BF15-46D2C9993B67}" uniqueName="8" name="Jul" queryTableFieldId="8"/>
    <tableColumn id="9" xr3:uid="{5B03690C-2C0F-4514-9B63-F35CE68374A3}" uniqueName="9" name="Aug" queryTableFieldId="9"/>
    <tableColumn id="10" xr3:uid="{C1DD453B-1846-44D3-93A5-B5C97A8B2CCB}" uniqueName="10" name="Sep" queryTableFieldId="10" dataDxfId="32"/>
    <tableColumn id="11" xr3:uid="{D15B2DAD-AA3D-4763-887A-AA61360514FF}" uniqueName="11" name="Oct" queryTableFieldId="11" dataDxfId="31"/>
    <tableColumn id="13" xr3:uid="{F63CB958-AD85-4D09-9BF3-8C39A154008D}" uniqueName="13" name="Nov" queryTableFieldId="14" dataDxfId="3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A2E97-D9F8-4EB6-A701-63416553498A}">
  <dimension ref="A1:J4"/>
  <sheetViews>
    <sheetView workbookViewId="0">
      <selection activeCell="D2" sqref="D2"/>
    </sheetView>
  </sheetViews>
  <sheetFormatPr defaultRowHeight="15" x14ac:dyDescent="0.25"/>
  <cols>
    <col min="1" max="1" width="21" bestFit="1" customWidth="1"/>
    <col min="2" max="2" width="65" bestFit="1" customWidth="1"/>
    <col min="3" max="3" width="36.42578125" bestFit="1" customWidth="1"/>
    <col min="4" max="4" width="15.7109375" bestFit="1" customWidth="1"/>
    <col min="5" max="5" width="16.140625" style="54" bestFit="1" customWidth="1"/>
    <col min="6" max="6" width="9.28515625" bestFit="1" customWidth="1"/>
    <col min="7" max="7" width="20" style="56" bestFit="1" customWidth="1"/>
    <col min="8" max="8" width="19.140625" style="56" bestFit="1" customWidth="1"/>
    <col min="9" max="9" width="8.85546875" bestFit="1" customWidth="1"/>
    <col min="10" max="10" width="28.28515625" bestFit="1" customWidth="1"/>
  </cols>
  <sheetData>
    <row r="1" spans="1:10" s="52" customFormat="1" x14ac:dyDescent="0.25">
      <c r="A1" s="52" t="s">
        <v>56</v>
      </c>
      <c r="B1" s="52" t="s">
        <v>71</v>
      </c>
      <c r="C1" s="52" t="s">
        <v>66</v>
      </c>
      <c r="D1" s="52" t="s">
        <v>60</v>
      </c>
      <c r="E1" s="53" t="s">
        <v>61</v>
      </c>
      <c r="F1" s="52" t="s">
        <v>55</v>
      </c>
      <c r="G1" s="55" t="s">
        <v>64</v>
      </c>
      <c r="H1" s="55" t="s">
        <v>68</v>
      </c>
      <c r="I1" s="52" t="s">
        <v>65</v>
      </c>
      <c r="J1" s="52" t="s">
        <v>57</v>
      </c>
    </row>
    <row r="2" spans="1:10" x14ac:dyDescent="0.25">
      <c r="A2" t="s">
        <v>58</v>
      </c>
      <c r="B2" t="s">
        <v>70</v>
      </c>
      <c r="C2" t="s">
        <v>67</v>
      </c>
      <c r="D2" t="s">
        <v>59</v>
      </c>
      <c r="E2" s="54" t="s">
        <v>62</v>
      </c>
      <c r="F2" t="s">
        <v>63</v>
      </c>
      <c r="G2" s="56">
        <v>45944.615277777775</v>
      </c>
      <c r="H2" s="56">
        <v>46309.615277777775</v>
      </c>
      <c r="I2" t="s">
        <v>69</v>
      </c>
      <c r="J2" t="s">
        <v>72</v>
      </c>
    </row>
    <row r="3" spans="1:10" x14ac:dyDescent="0.25">
      <c r="A3" t="s">
        <v>73</v>
      </c>
      <c r="B3" t="s">
        <v>80</v>
      </c>
      <c r="C3" t="s">
        <v>81</v>
      </c>
      <c r="D3" t="s">
        <v>31</v>
      </c>
      <c r="E3" s="54" t="s">
        <v>75</v>
      </c>
      <c r="F3" t="s">
        <v>76</v>
      </c>
      <c r="G3" s="56">
        <v>44851.499571759261</v>
      </c>
      <c r="H3" s="56">
        <v>45946.499560185184</v>
      </c>
      <c r="I3" t="s">
        <v>77</v>
      </c>
      <c r="J3" t="s">
        <v>78</v>
      </c>
    </row>
    <row r="4" spans="1:10" x14ac:dyDescent="0.25">
      <c r="A4" t="s">
        <v>73</v>
      </c>
      <c r="B4" t="s">
        <v>79</v>
      </c>
      <c r="C4" t="s">
        <v>74</v>
      </c>
      <c r="D4" t="s">
        <v>31</v>
      </c>
      <c r="E4" s="54" t="s">
        <v>75</v>
      </c>
      <c r="F4" t="s">
        <v>76</v>
      </c>
      <c r="G4" s="56">
        <v>45946.499560185184</v>
      </c>
      <c r="H4" s="56">
        <v>47041.499548611115</v>
      </c>
      <c r="I4" t="s">
        <v>77</v>
      </c>
      <c r="J4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D53F4-7990-488D-BE48-1ECB29DC4796}">
  <dimension ref="A1:N13"/>
  <sheetViews>
    <sheetView zoomScale="85" zoomScaleNormal="85" workbookViewId="0">
      <selection sqref="A1:N12"/>
    </sheetView>
  </sheetViews>
  <sheetFormatPr defaultRowHeight="15" x14ac:dyDescent="0.25"/>
  <cols>
    <col min="1" max="1" width="11.42578125" bestFit="1" customWidth="1"/>
    <col min="2" max="11" width="11.140625" bestFit="1" customWidth="1"/>
    <col min="12" max="12" width="12.7109375" bestFit="1" customWidth="1"/>
    <col min="13" max="13" width="12.7109375" customWidth="1"/>
    <col min="14" max="14" width="12.7109375" bestFit="1" customWidth="1"/>
  </cols>
  <sheetData>
    <row r="1" spans="1:14" x14ac:dyDescent="0.25">
      <c r="A1" t="s">
        <v>0</v>
      </c>
      <c r="B1" t="s">
        <v>6</v>
      </c>
      <c r="C1" t="s">
        <v>1</v>
      </c>
      <c r="D1" t="s">
        <v>7</v>
      </c>
      <c r="E1" t="s">
        <v>8</v>
      </c>
      <c r="F1" t="s">
        <v>9</v>
      </c>
      <c r="G1" t="s">
        <v>37</v>
      </c>
      <c r="H1" t="s">
        <v>38</v>
      </c>
      <c r="I1" t="s">
        <v>41</v>
      </c>
      <c r="J1" t="s">
        <v>43</v>
      </c>
      <c r="K1" t="s">
        <v>3</v>
      </c>
      <c r="L1" t="s">
        <v>4</v>
      </c>
      <c r="M1" t="s">
        <v>5</v>
      </c>
      <c r="N1" t="s">
        <v>40</v>
      </c>
    </row>
    <row r="2" spans="1:14" x14ac:dyDescent="0.25">
      <c r="A2" t="s">
        <v>39</v>
      </c>
      <c r="B2" s="10">
        <v>56675.43</v>
      </c>
      <c r="C2" s="10">
        <v>58058.91</v>
      </c>
      <c r="D2" s="10">
        <v>58030.04</v>
      </c>
      <c r="E2" s="10">
        <v>59672.17</v>
      </c>
      <c r="F2" s="10">
        <v>60921.52</v>
      </c>
      <c r="G2" s="10">
        <v>59802.94</v>
      </c>
      <c r="H2" s="10">
        <v>62115.03</v>
      </c>
      <c r="I2" s="10">
        <v>63844.59</v>
      </c>
      <c r="J2" s="10">
        <v>64214.81</v>
      </c>
      <c r="K2" s="10">
        <v>76920.990000000005</v>
      </c>
      <c r="L2" s="10">
        <v>70836.639999999999</v>
      </c>
      <c r="M2" s="10">
        <v>77585.070000000007</v>
      </c>
      <c r="N2" s="10">
        <f t="shared" ref="N2:N12" si="0">SUM(B2:M2)</f>
        <v>768678.1399999999</v>
      </c>
    </row>
    <row r="3" spans="1:14" x14ac:dyDescent="0.25">
      <c r="A3" t="s">
        <v>16</v>
      </c>
      <c r="B3" s="10">
        <v>50711.74</v>
      </c>
      <c r="C3" s="10">
        <v>47178.45</v>
      </c>
      <c r="D3" s="10">
        <v>51085.51</v>
      </c>
      <c r="E3" s="10">
        <v>51384.27</v>
      </c>
      <c r="F3" s="10">
        <v>50095.14</v>
      </c>
      <c r="G3" s="10">
        <v>50114.04</v>
      </c>
      <c r="H3" s="10">
        <v>52828.53</v>
      </c>
      <c r="I3" s="10">
        <v>53638</v>
      </c>
      <c r="J3" s="10">
        <v>57385.32</v>
      </c>
      <c r="K3" s="10">
        <v>49506.12</v>
      </c>
      <c r="L3" s="10">
        <v>47233.43</v>
      </c>
      <c r="M3" s="10">
        <v>55519.57</v>
      </c>
      <c r="N3" s="10">
        <f t="shared" si="0"/>
        <v>616680.11999999988</v>
      </c>
    </row>
    <row r="4" spans="1:14" x14ac:dyDescent="0.25">
      <c r="A4" t="s">
        <v>12</v>
      </c>
      <c r="B4" s="10">
        <v>23546.37</v>
      </c>
      <c r="C4" s="10">
        <v>23871.07</v>
      </c>
      <c r="D4" s="10">
        <v>24518.1</v>
      </c>
      <c r="E4" s="10">
        <v>28452.82</v>
      </c>
      <c r="F4" s="10">
        <v>27529.56</v>
      </c>
      <c r="G4" s="10">
        <v>35812.1</v>
      </c>
      <c r="H4" s="10">
        <v>30055.79</v>
      </c>
      <c r="I4" s="10">
        <v>29046.43</v>
      </c>
      <c r="J4" s="10">
        <v>31059.39</v>
      </c>
      <c r="K4" s="10">
        <v>26301.82</v>
      </c>
      <c r="L4" s="10">
        <v>26849.51</v>
      </c>
      <c r="M4" s="10">
        <v>28714.720000000001</v>
      </c>
      <c r="N4" s="10">
        <f t="shared" si="0"/>
        <v>335757.68000000005</v>
      </c>
    </row>
    <row r="5" spans="1:14" x14ac:dyDescent="0.25">
      <c r="A5" t="s">
        <v>10</v>
      </c>
      <c r="B5" s="10">
        <v>16919.830000000002</v>
      </c>
      <c r="C5" s="10">
        <v>16164.97</v>
      </c>
      <c r="D5" s="10">
        <v>15995.31</v>
      </c>
      <c r="E5" s="10">
        <v>16662.89</v>
      </c>
      <c r="F5" s="10">
        <v>17323.150000000001</v>
      </c>
      <c r="G5" s="10">
        <v>18654.78</v>
      </c>
      <c r="H5" s="10">
        <v>18616.68</v>
      </c>
      <c r="I5" s="10">
        <v>18137.75</v>
      </c>
      <c r="J5" s="10">
        <v>19901.41</v>
      </c>
      <c r="K5" s="10">
        <v>16742.66</v>
      </c>
      <c r="L5" s="10">
        <v>16642.849999999999</v>
      </c>
      <c r="M5" s="10">
        <v>17669.71</v>
      </c>
      <c r="N5" s="10">
        <f t="shared" si="0"/>
        <v>209431.99</v>
      </c>
    </row>
    <row r="6" spans="1:14" x14ac:dyDescent="0.25">
      <c r="A6" t="s">
        <v>15</v>
      </c>
      <c r="B6" s="10">
        <v>6397.31</v>
      </c>
      <c r="C6" s="10">
        <v>6579.44</v>
      </c>
      <c r="D6" s="10">
        <v>6336.91</v>
      </c>
      <c r="E6" s="10">
        <v>6601.21</v>
      </c>
      <c r="F6" s="10">
        <v>6603.07</v>
      </c>
      <c r="G6" s="10">
        <v>6434.35</v>
      </c>
      <c r="H6" s="10">
        <v>6687.86</v>
      </c>
      <c r="I6" s="10">
        <v>6489.85</v>
      </c>
      <c r="J6" s="10">
        <v>6090.15</v>
      </c>
      <c r="K6" s="10">
        <v>5896.16</v>
      </c>
      <c r="L6" s="10">
        <v>4936.88</v>
      </c>
      <c r="M6" s="10">
        <v>4982.84</v>
      </c>
      <c r="N6" s="10">
        <f t="shared" si="0"/>
        <v>74036.03</v>
      </c>
    </row>
    <row r="7" spans="1:14" x14ac:dyDescent="0.25">
      <c r="A7" t="s">
        <v>14</v>
      </c>
      <c r="B7" s="10">
        <v>4860.3900000000003</v>
      </c>
      <c r="C7" s="10">
        <v>4459.5</v>
      </c>
      <c r="D7" s="10">
        <v>3554.56</v>
      </c>
      <c r="E7" s="10">
        <v>3817.2</v>
      </c>
      <c r="F7" s="10">
        <v>3957.67</v>
      </c>
      <c r="G7" s="10">
        <v>4296.8500000000004</v>
      </c>
      <c r="H7" s="10">
        <v>4282.04</v>
      </c>
      <c r="I7" s="10">
        <v>4245.38</v>
      </c>
      <c r="J7" s="10">
        <v>4516.9399999999996</v>
      </c>
      <c r="K7" s="10">
        <v>4287.5</v>
      </c>
      <c r="L7" s="10">
        <v>4269.38</v>
      </c>
      <c r="M7" s="10">
        <v>4533.7299999999996</v>
      </c>
      <c r="N7" s="10">
        <f t="shared" si="0"/>
        <v>51081.14</v>
      </c>
    </row>
    <row r="8" spans="1:14" x14ac:dyDescent="0.25">
      <c r="A8" t="s">
        <v>13</v>
      </c>
      <c r="B8" s="10">
        <v>9483.17</v>
      </c>
      <c r="C8" s="10">
        <v>8834.7900000000009</v>
      </c>
      <c r="D8" s="10">
        <v>7674.76</v>
      </c>
      <c r="E8" s="10">
        <v>7811.46</v>
      </c>
      <c r="F8" s="10">
        <v>7609.76</v>
      </c>
      <c r="G8" s="10">
        <v>7183.23</v>
      </c>
      <c r="H8" s="10">
        <v>7560.49</v>
      </c>
      <c r="I8" s="10">
        <v>7354.82</v>
      </c>
      <c r="J8" s="10">
        <v>7170.44</v>
      </c>
      <c r="K8" s="10">
        <v>6102.65</v>
      </c>
      <c r="L8" s="10">
        <v>4805.28</v>
      </c>
      <c r="M8" s="10">
        <v>4445.18</v>
      </c>
      <c r="N8" s="10">
        <f t="shared" si="0"/>
        <v>86036.03</v>
      </c>
    </row>
    <row r="9" spans="1:14" x14ac:dyDescent="0.25">
      <c r="A9" t="s">
        <v>11</v>
      </c>
      <c r="B9" s="10">
        <v>11822.44</v>
      </c>
      <c r="C9" s="10">
        <v>11426.31</v>
      </c>
      <c r="D9" s="10">
        <v>10897.87</v>
      </c>
      <c r="E9" s="10">
        <v>11190.95</v>
      </c>
      <c r="F9" s="10">
        <v>11499.71</v>
      </c>
      <c r="G9" s="10">
        <v>10991.67</v>
      </c>
      <c r="H9" s="10">
        <v>11336.26</v>
      </c>
      <c r="I9" s="10">
        <v>10534.29</v>
      </c>
      <c r="J9" s="10">
        <v>12673.99</v>
      </c>
      <c r="K9" s="10">
        <v>4357.0200000000004</v>
      </c>
      <c r="L9" s="10">
        <v>3696.47</v>
      </c>
      <c r="M9" s="10">
        <v>4034.71</v>
      </c>
      <c r="N9" s="10">
        <f t="shared" si="0"/>
        <v>114461.69000000002</v>
      </c>
    </row>
    <row r="10" spans="1:14" x14ac:dyDescent="0.25">
      <c r="A10" t="s">
        <v>17</v>
      </c>
      <c r="B10" s="10">
        <v>466.73</v>
      </c>
      <c r="C10" s="10">
        <v>461.53</v>
      </c>
      <c r="D10" s="10">
        <v>443.96</v>
      </c>
      <c r="E10" s="10">
        <v>448.16</v>
      </c>
      <c r="F10" s="10">
        <v>458.12</v>
      </c>
      <c r="G10" s="10">
        <v>443.29</v>
      </c>
      <c r="H10" s="10">
        <v>450.08</v>
      </c>
      <c r="I10" s="10">
        <v>1027.5899999999999</v>
      </c>
      <c r="J10" s="10">
        <v>1417.97</v>
      </c>
      <c r="K10" s="10">
        <v>1300.5999999999999</v>
      </c>
      <c r="L10" s="10">
        <v>1196.8800000000001</v>
      </c>
      <c r="M10" s="10">
        <v>1309.95</v>
      </c>
      <c r="N10" s="10">
        <f t="shared" si="0"/>
        <v>9424.86</v>
      </c>
    </row>
    <row r="11" spans="1:14" x14ac:dyDescent="0.25">
      <c r="A11" t="s">
        <v>42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78.73</v>
      </c>
      <c r="J11" s="10">
        <v>112.69</v>
      </c>
      <c r="K11" s="10">
        <v>103.97</v>
      </c>
      <c r="L11" s="10">
        <v>99.17</v>
      </c>
      <c r="M11" s="10">
        <v>118.87</v>
      </c>
      <c r="N11" s="10">
        <f t="shared" si="0"/>
        <v>513.43000000000006</v>
      </c>
    </row>
    <row r="12" spans="1:14" x14ac:dyDescent="0.25">
      <c r="A12" t="s">
        <v>48</v>
      </c>
      <c r="B12" s="10">
        <v>170.7</v>
      </c>
      <c r="C12" s="10">
        <v>163.01</v>
      </c>
      <c r="D12" s="10">
        <v>161.75</v>
      </c>
      <c r="E12" s="10">
        <v>159.13</v>
      </c>
      <c r="F12" s="10">
        <v>160.16</v>
      </c>
      <c r="G12" s="10">
        <v>161.05000000000001</v>
      </c>
      <c r="H12" s="10">
        <v>52.2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f t="shared" si="0"/>
        <v>1028</v>
      </c>
    </row>
    <row r="13" spans="1:14" x14ac:dyDescent="0.25">
      <c r="A13" t="s">
        <v>18</v>
      </c>
      <c r="B13">
        <v>181054.11</v>
      </c>
      <c r="C13">
        <v>177197.98</v>
      </c>
      <c r="D13">
        <v>178698.77</v>
      </c>
      <c r="E13">
        <v>186200.26</v>
      </c>
      <c r="F13">
        <v>186157.86</v>
      </c>
      <c r="G13">
        <v>193894.3</v>
      </c>
      <c r="H13">
        <v>193984.96</v>
      </c>
      <c r="I13">
        <v>194397.43</v>
      </c>
      <c r="J13">
        <v>204543.11</v>
      </c>
      <c r="K13">
        <v>191519.49</v>
      </c>
      <c r="L13">
        <v>180566.49</v>
      </c>
      <c r="M13">
        <v>198914.35</v>
      </c>
    </row>
  </sheetData>
  <sortState xmlns:xlrd2="http://schemas.microsoft.com/office/spreadsheetml/2017/richdata2" ref="A2:N12">
    <sortCondition descending="1" ref="M2:M12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44284-4EFA-47F5-8034-18D06BBE22DD}">
  <dimension ref="A1:Q44"/>
  <sheetViews>
    <sheetView workbookViewId="0">
      <selection activeCell="M2" sqref="M2"/>
    </sheetView>
  </sheetViews>
  <sheetFormatPr defaultRowHeight="15" x14ac:dyDescent="0.25"/>
  <cols>
    <col min="1" max="1" width="9.28515625" bestFit="1" customWidth="1"/>
    <col min="2" max="4" width="16" bestFit="1" customWidth="1"/>
    <col min="5" max="5" width="17.28515625" bestFit="1" customWidth="1"/>
    <col min="6" max="6" width="16" bestFit="1" customWidth="1"/>
    <col min="7" max="7" width="21" customWidth="1"/>
    <col min="8" max="8" width="18" bestFit="1" customWidth="1"/>
    <col min="9" max="13" width="16" bestFit="1" customWidth="1"/>
    <col min="14" max="14" width="14.5703125" style="10" bestFit="1" customWidth="1"/>
    <col min="15" max="15" width="17.28515625" style="13" bestFit="1" customWidth="1"/>
    <col min="16" max="16" width="21.42578125" bestFit="1" customWidth="1"/>
    <col min="17" max="17" width="19.7109375" style="13" bestFit="1" customWidth="1"/>
  </cols>
  <sheetData>
    <row r="1" spans="1:17" s="5" customFormat="1" ht="18.75" x14ac:dyDescent="0.3">
      <c r="A1" s="4" t="s">
        <v>0</v>
      </c>
      <c r="B1" s="4" t="str">
        <f>aws_spend[[#Headers],[Dec]]</f>
        <v>Dec</v>
      </c>
      <c r="C1" s="4" t="str">
        <f>aws_spend[[#Headers],[Jan]]</f>
        <v>Jan</v>
      </c>
      <c r="D1" s="4" t="str">
        <f>aws_spend[[#Headers],[Feb]]</f>
        <v>Feb</v>
      </c>
      <c r="E1" s="4" t="str">
        <f>aws_spend[[#Headers],[Mar]]</f>
        <v>Mar</v>
      </c>
      <c r="F1" s="4" t="str">
        <f>aws_spend[[#Headers],[Apr]]</f>
        <v>Apr</v>
      </c>
      <c r="G1" s="4" t="str">
        <f>aws_spend[[#Headers],[May]]</f>
        <v>May</v>
      </c>
      <c r="H1" s="4" t="str">
        <f>aws_spend[[#Headers],[Jun]]</f>
        <v>Jun</v>
      </c>
      <c r="I1" s="4" t="str">
        <f>aws_spend[[#Headers],[Jul]]</f>
        <v>Jul</v>
      </c>
      <c r="J1" s="4" t="str">
        <f>aws_spend[[#Headers],[Aug]]</f>
        <v>Aug</v>
      </c>
      <c r="K1" s="4" t="str">
        <f>aws_spend[[#Headers],[Sep]]</f>
        <v>Sep</v>
      </c>
      <c r="L1" s="4" t="str">
        <f>aws_spend[[#Headers],[Oct]]</f>
        <v>Oct</v>
      </c>
      <c r="M1" s="4" t="str">
        <f>aws_spend[[#Headers],[Nov]]</f>
        <v>Nov</v>
      </c>
      <c r="N1" s="8" t="s">
        <v>2</v>
      </c>
      <c r="O1" s="11" t="s">
        <v>26</v>
      </c>
      <c r="P1" s="24" t="s">
        <v>45</v>
      </c>
      <c r="Q1" s="43" t="s">
        <v>46</v>
      </c>
    </row>
    <row r="2" spans="1:17" ht="18.75" x14ac:dyDescent="0.3">
      <c r="A2" s="1" t="str">
        <f>aws_spend[[#This Row],[Month]]</f>
        <v>ab</v>
      </c>
      <c r="B2" s="46">
        <f>aws_spend[[#This Row],[Dec]]</f>
        <v>28018.99</v>
      </c>
      <c r="C2" s="46">
        <f>aws_spend[[#This Row],[Jan]]</f>
        <v>23511.78</v>
      </c>
      <c r="D2" s="46">
        <f>aws_spend[[#This Row],[Feb]]</f>
        <v>24520.84</v>
      </c>
      <c r="E2" s="46">
        <f>aws_spend[[#This Row],[Mar]]</f>
        <v>26272.3</v>
      </c>
      <c r="F2" s="46">
        <f>aws_spend[[#This Row],[Apr]]</f>
        <v>23791.87</v>
      </c>
      <c r="G2" s="46">
        <f>aws_spend[[#This Row],[May]]</f>
        <v>24817.38</v>
      </c>
      <c r="H2" s="46">
        <f>aws_spend[[#This Row],[Jun]]</f>
        <v>25172.58</v>
      </c>
      <c r="I2" s="46">
        <f>aws_spend[[#This Row],[Jul]]</f>
        <v>24889.61</v>
      </c>
      <c r="J2" s="46">
        <f>aws_spend[[#This Row],[Aug]]</f>
        <v>24799.32</v>
      </c>
      <c r="K2" s="46">
        <f>aws_spend[[#This Row],[Sep]]</f>
        <v>24924.92</v>
      </c>
      <c r="L2" s="46">
        <f>aws_spend[[#This Row],[Oct]]</f>
        <v>29537.64</v>
      </c>
      <c r="M2" s="46">
        <f>aws_spend[[#This Row],[Nov]]</f>
        <v>28725.26</v>
      </c>
      <c r="N2" s="9" cm="1">
        <f t="array" aca="1" ref="N2" ca="1">ABS(OFFSET(INDIRECT(ADDRESS(ROW(), COLUMN())),0,-1)-OFFSET(INDIRECT(ADDRESS(ROW(), COLUMN())),0,-2))</f>
        <v>812.38000000000102</v>
      </c>
      <c r="O2" s="12" cm="1">
        <f t="array" aca="1" ref="O2" ca="1">N2/OFFSET(INDIRECT(ADDRESS(ROW(), COLUMN())),0,-3)</f>
        <v>2.7503212849774087E-2</v>
      </c>
      <c r="P2" s="2">
        <f>SUM(B2:INDEX(2:2,COLUMN()-3))</f>
        <v>308982.49</v>
      </c>
      <c r="Q2" s="49">
        <f>P2/$P$14</f>
        <v>0.17173451709474447</v>
      </c>
    </row>
    <row r="3" spans="1:17" ht="18.75" x14ac:dyDescent="0.3">
      <c r="A3" s="1" t="str">
        <f>aws_spend[[#This Row],[Month]]</f>
        <v>asp</v>
      </c>
      <c r="B3" s="46">
        <f>aws_spend[[#This Row],[Dec]]</f>
        <v>7170.44</v>
      </c>
      <c r="C3" s="46">
        <f>aws_spend[[#This Row],[Jan]]</f>
        <v>6102.65</v>
      </c>
      <c r="D3" s="46">
        <f>aws_spend[[#This Row],[Feb]]</f>
        <v>4805.28</v>
      </c>
      <c r="E3" s="46">
        <f>aws_spend[[#This Row],[Mar]]</f>
        <v>4445.18</v>
      </c>
      <c r="F3" s="46">
        <f>aws_spend[[#This Row],[Apr]]</f>
        <v>4159.22</v>
      </c>
      <c r="G3" s="46">
        <f>aws_spend[[#This Row],[May]]</f>
        <v>4278.33</v>
      </c>
      <c r="H3" s="46">
        <f>aws_spend[[#This Row],[Jun]]</f>
        <v>4153.47</v>
      </c>
      <c r="I3" s="46">
        <f>aws_spend[[#This Row],[Jul]]</f>
        <v>4398.37</v>
      </c>
      <c r="J3" s="46">
        <f>aws_spend[[#This Row],[Aug]]</f>
        <v>4462.05</v>
      </c>
      <c r="K3" s="46">
        <f>aws_spend[[#This Row],[Sep]]</f>
        <v>4436.91</v>
      </c>
      <c r="L3" s="46">
        <f>aws_spend[[#This Row],[Oct]]</f>
        <v>4620.2</v>
      </c>
      <c r="M3" s="46">
        <f>aws_spend[[#This Row],[Nov]]</f>
        <v>4515.62</v>
      </c>
      <c r="N3" s="9" cm="1">
        <f t="array" aca="1" ref="N3" ca="1">ABS(OFFSET(INDIRECT(ADDRESS(ROW(), COLUMN())),0,-1)-OFFSET(INDIRECT(ADDRESS(ROW(), COLUMN())),0,-2))</f>
        <v>104.57999999999993</v>
      </c>
      <c r="O3" s="12" cm="1">
        <f t="array" aca="1" ref="O3" ca="1">N3/OFFSET(INDIRECT(ADDRESS(ROW(), COLUMN())),0,-3)</f>
        <v>2.2635383749621214E-2</v>
      </c>
      <c r="P3" s="2">
        <f>SUM(B3:INDEX(3:3,COLUMN()-3))</f>
        <v>57547.720000000008</v>
      </c>
      <c r="Q3" s="49">
        <f>P3/$P$14</f>
        <v>3.1985404428916245E-2</v>
      </c>
    </row>
    <row r="4" spans="1:17" ht="18.75" x14ac:dyDescent="0.3">
      <c r="A4" s="1" t="str">
        <f>aws_spend[[#This Row],[Month]]</f>
        <v>bma</v>
      </c>
      <c r="B4" s="46">
        <f>aws_spend[[#This Row],[Dec]]</f>
        <v>1417.97</v>
      </c>
      <c r="C4" s="46">
        <f>aws_spend[[#This Row],[Jan]]</f>
        <v>1300.5999999999999</v>
      </c>
      <c r="D4" s="46">
        <f>aws_spend[[#This Row],[Feb]]</f>
        <v>1196.8800000000001</v>
      </c>
      <c r="E4" s="46">
        <f>aws_spend[[#This Row],[Mar]]</f>
        <v>1309.95</v>
      </c>
      <c r="F4" s="46">
        <f>aws_spend[[#This Row],[Apr]]</f>
        <v>1313.62</v>
      </c>
      <c r="G4" s="46">
        <f>aws_spend[[#This Row],[May]]</f>
        <v>1326.27</v>
      </c>
      <c r="H4" s="46">
        <f>aws_spend[[#This Row],[Jun]]</f>
        <v>1097.05</v>
      </c>
      <c r="I4" s="46">
        <f>aws_spend[[#This Row],[Jul]]</f>
        <v>1021.29</v>
      </c>
      <c r="J4" s="46">
        <f>aws_spend[[#This Row],[Aug]]</f>
        <v>1013.2</v>
      </c>
      <c r="K4" s="46">
        <f>aws_spend[[#This Row],[Sep]]</f>
        <v>985.88</v>
      </c>
      <c r="L4" s="46">
        <f>aws_spend[[#This Row],[Oct]]</f>
        <v>719.03</v>
      </c>
      <c r="M4" s="46">
        <f>aws_spend[[#This Row],[Nov]]</f>
        <v>126.23</v>
      </c>
      <c r="N4" s="9" cm="1">
        <f t="array" aca="1" ref="N4" ca="1">ABS(OFFSET(INDIRECT(ADDRESS(ROW(), COLUMN())),0,-1)-OFFSET(INDIRECT(ADDRESS(ROW(), COLUMN())),0,-2))</f>
        <v>592.79999999999995</v>
      </c>
      <c r="O4" s="12" cm="1">
        <f t="array" aca="1" ref="O4" ca="1">N4/OFFSET(INDIRECT(ADDRESS(ROW(), COLUMN())),0,-3)</f>
        <v>0.82444404266859517</v>
      </c>
      <c r="P4" s="2">
        <f>SUM(B4:INDEX(4:4,COLUMN()-3))</f>
        <v>12827.969999999998</v>
      </c>
      <c r="Q4" s="49">
        <f t="shared" ref="Q4:Q13" si="0">P4/$P$14</f>
        <v>7.1298708003028552E-3</v>
      </c>
    </row>
    <row r="5" spans="1:17" ht="18.75" x14ac:dyDescent="0.3">
      <c r="A5" s="1" t="str">
        <f>aws_spend[[#This Row],[Month]]</f>
        <v>cw</v>
      </c>
      <c r="B5" s="46">
        <f>aws_spend[[#This Row],[Dec]]</f>
        <v>12673.99</v>
      </c>
      <c r="C5" s="46">
        <f>aws_spend[[#This Row],[Jan]]</f>
        <v>4357.0200000000004</v>
      </c>
      <c r="D5" s="46">
        <f>aws_spend[[#This Row],[Feb]]</f>
        <v>3696.47</v>
      </c>
      <c r="E5" s="46">
        <f>aws_spend[[#This Row],[Mar]]</f>
        <v>4034.71</v>
      </c>
      <c r="F5" s="46">
        <f>aws_spend[[#This Row],[Apr]]</f>
        <v>3448.16</v>
      </c>
      <c r="G5" s="46">
        <f>aws_spend[[#This Row],[May]]</f>
        <v>3516.08</v>
      </c>
      <c r="H5" s="46">
        <f>aws_spend[[#This Row],[Jun]]</f>
        <v>3468.97</v>
      </c>
      <c r="I5" s="46">
        <f>aws_spend[[#This Row],[Jul]]</f>
        <v>3877.55</v>
      </c>
      <c r="J5" s="46">
        <f>aws_spend[[#This Row],[Aug]]</f>
        <v>5104.17</v>
      </c>
      <c r="K5" s="46">
        <f>aws_spend[[#This Row],[Sep]]</f>
        <v>5565.57</v>
      </c>
      <c r="L5" s="46">
        <f>aws_spend[[#This Row],[Oct]]</f>
        <v>5238.53</v>
      </c>
      <c r="M5" s="46">
        <f>aws_spend[[#This Row],[Nov]]</f>
        <v>4374.99</v>
      </c>
      <c r="N5" s="9" cm="1">
        <f t="array" aca="1" ref="N5" ca="1">ABS(OFFSET(INDIRECT(ADDRESS(ROW(), COLUMN())),0,-1)-OFFSET(INDIRECT(ADDRESS(ROW(), COLUMN())),0,-2))</f>
        <v>863.54</v>
      </c>
      <c r="O5" s="12" cm="1">
        <f t="array" aca="1" ref="O5" ca="1">N5/OFFSET(INDIRECT(ADDRESS(ROW(), COLUMN())),0,-3)</f>
        <v>0.16484395431542817</v>
      </c>
      <c r="P5" s="2">
        <f>SUM(B5:INDEX(5:5,COLUMN()-3))</f>
        <v>59356.21</v>
      </c>
      <c r="Q5" s="49">
        <f t="shared" si="0"/>
        <v>3.2990575164709955E-2</v>
      </c>
    </row>
    <row r="6" spans="1:17" ht="18.75" x14ac:dyDescent="0.3">
      <c r="A6" s="1" t="str">
        <f>aws_spend[[#This Row],[Month]]</f>
        <v>dc</v>
      </c>
      <c r="B6" s="46">
        <f>aws_spend[[#This Row],[Dec]]</f>
        <v>6090.15</v>
      </c>
      <c r="C6" s="46">
        <f>aws_spend[[#This Row],[Jan]]</f>
        <v>5896.16</v>
      </c>
      <c r="D6" s="46">
        <f>aws_spend[[#This Row],[Feb]]</f>
        <v>4936.88</v>
      </c>
      <c r="E6" s="46">
        <f>aws_spend[[#This Row],[Mar]]</f>
        <v>4982.84</v>
      </c>
      <c r="F6" s="46">
        <f>aws_spend[[#This Row],[Apr]]</f>
        <v>4843.93</v>
      </c>
      <c r="G6" s="46">
        <f>aws_spend[[#This Row],[May]]</f>
        <v>4988.43</v>
      </c>
      <c r="H6" s="46">
        <f>aws_spend[[#This Row],[Jun]]</f>
        <v>4851.29</v>
      </c>
      <c r="I6" s="46">
        <f>aws_spend[[#This Row],[Jul]]</f>
        <v>5150.95</v>
      </c>
      <c r="J6" s="46">
        <f>aws_spend[[#This Row],[Aug]]</f>
        <v>5002.41</v>
      </c>
      <c r="K6" s="46">
        <f>aws_spend[[#This Row],[Sep]]</f>
        <v>4838.22</v>
      </c>
      <c r="L6" s="46">
        <f>aws_spend[[#This Row],[Oct]]</f>
        <v>4915.6400000000003</v>
      </c>
      <c r="M6" s="46">
        <f>aws_spend[[#This Row],[Nov]]</f>
        <v>4692.47</v>
      </c>
      <c r="N6" s="9" cm="1">
        <f t="array" aca="1" ref="N6" ca="1">ABS(OFFSET(INDIRECT(ADDRESS(ROW(), COLUMN())),0,-1)-OFFSET(INDIRECT(ADDRESS(ROW(), COLUMN())),0,-2))</f>
        <v>223.17000000000007</v>
      </c>
      <c r="O6" s="12" cm="1">
        <f t="array" aca="1" ref="O6" ca="1">N6/OFFSET(INDIRECT(ADDRESS(ROW(), COLUMN())),0,-3)</f>
        <v>4.5399988607790653E-2</v>
      </c>
      <c r="P6" s="2">
        <f>SUM(B6:INDEX(6:6,COLUMN()-3))</f>
        <v>61189.369999999995</v>
      </c>
      <c r="Q6" s="49">
        <f t="shared" si="0"/>
        <v>3.4009457650113581E-2</v>
      </c>
    </row>
    <row r="7" spans="1:17" ht="18.75" x14ac:dyDescent="0.3">
      <c r="A7" s="1" t="str">
        <f>aws_spend[[#This Row],[Month]]</f>
        <v>hwcg</v>
      </c>
      <c r="B7" s="46">
        <f>aws_spend[[#This Row],[Dec]]</f>
        <v>4516.9399999999996</v>
      </c>
      <c r="C7" s="46">
        <f>aws_spend[[#This Row],[Jan]]</f>
        <v>4287.5</v>
      </c>
      <c r="D7" s="46">
        <f>aws_spend[[#This Row],[Feb]]</f>
        <v>4269.38</v>
      </c>
      <c r="E7" s="46">
        <f>aws_spend[[#This Row],[Mar]]</f>
        <v>4533.7299999999996</v>
      </c>
      <c r="F7" s="46">
        <f>aws_spend[[#This Row],[Apr]]</f>
        <v>3330.49</v>
      </c>
      <c r="G7" s="46">
        <f>aws_spend[[#This Row],[May]]</f>
        <v>2950.47</v>
      </c>
      <c r="H7" s="46">
        <f>aws_spend[[#This Row],[Jun]]</f>
        <v>2956.37</v>
      </c>
      <c r="I7" s="46">
        <f>aws_spend[[#This Row],[Jul]]</f>
        <v>3118.43</v>
      </c>
      <c r="J7" s="46">
        <f>aws_spend[[#This Row],[Aug]]</f>
        <v>2339.2199999999998</v>
      </c>
      <c r="K7" s="46">
        <f>aws_spend[[#This Row],[Sep]]</f>
        <v>2080.9899999999998</v>
      </c>
      <c r="L7" s="46">
        <f>aws_spend[[#This Row],[Oct]]</f>
        <v>1957.68</v>
      </c>
      <c r="M7" s="46">
        <f>aws_spend[[#This Row],[Nov]]</f>
        <v>212.48</v>
      </c>
      <c r="N7" s="9" cm="1">
        <f t="array" aca="1" ref="N7" ca="1">ABS(OFFSET(INDIRECT(ADDRESS(ROW(), COLUMN())),0,-1)-OFFSET(INDIRECT(ADDRESS(ROW(), COLUMN())),0,-2))</f>
        <v>1745.2</v>
      </c>
      <c r="O7" s="12" cm="1">
        <f t="array" aca="1" ref="O7" ca="1">N7/OFFSET(INDIRECT(ADDRESS(ROW(), COLUMN())),0,-3)</f>
        <v>0.89146336479915</v>
      </c>
      <c r="P7" s="2">
        <f>SUM(B7:INDEX(7:7,COLUMN()-3))</f>
        <v>36553.680000000008</v>
      </c>
      <c r="Q7" s="49">
        <f t="shared" si="0"/>
        <v>2.0316777765742713E-2</v>
      </c>
    </row>
    <row r="8" spans="1:17" ht="18.75" x14ac:dyDescent="0.3">
      <c r="A8" s="1" t="str">
        <f>aws_spend[[#This Row],[Month]]</f>
        <v>jl</v>
      </c>
      <c r="B8" s="46">
        <f>aws_spend[[#This Row],[Dec]]</f>
        <v>112.69</v>
      </c>
      <c r="C8" s="46">
        <f>aws_spend[[#This Row],[Jan]]</f>
        <v>103.97</v>
      </c>
      <c r="D8" s="46">
        <f>aws_spend[[#This Row],[Feb]]</f>
        <v>99.17</v>
      </c>
      <c r="E8" s="46">
        <f>aws_spend[[#This Row],[Mar]]</f>
        <v>118.87</v>
      </c>
      <c r="F8" s="46">
        <f>aws_spend[[#This Row],[Apr]]</f>
        <v>119.18</v>
      </c>
      <c r="G8" s="46">
        <f>aws_spend[[#This Row],[May]]</f>
        <v>121.48</v>
      </c>
      <c r="H8" s="46">
        <f>aws_spend[[#This Row],[Jun]]</f>
        <v>119.5</v>
      </c>
      <c r="I8" s="46">
        <f>aws_spend[[#This Row],[Jul]]</f>
        <v>122.17</v>
      </c>
      <c r="J8" s="46">
        <f>aws_spend[[#This Row],[Aug]]</f>
        <v>125.69</v>
      </c>
      <c r="K8" s="46">
        <f>aws_spend[[#This Row],[Sep]]</f>
        <v>124.85</v>
      </c>
      <c r="L8" s="46">
        <f>aws_spend[[#This Row],[Oct]]</f>
        <v>123.51</v>
      </c>
      <c r="M8" s="46">
        <f>aws_spend[[#This Row],[Nov]]</f>
        <v>117.64</v>
      </c>
      <c r="N8" s="9" cm="1">
        <f t="array" aca="1" ref="N8" ca="1">ABS(OFFSET(INDIRECT(ADDRESS(ROW(), COLUMN())),0,-1)-OFFSET(INDIRECT(ADDRESS(ROW(), COLUMN())),0,-2))</f>
        <v>5.8700000000000045</v>
      </c>
      <c r="O8" s="12" cm="1">
        <f t="array" aca="1" ref="O8" ca="1">N8/OFFSET(INDIRECT(ADDRESS(ROW(), COLUMN())),0,-3)</f>
        <v>4.752651607157319E-2</v>
      </c>
      <c r="P8" s="2">
        <f>SUM(B8:INDEX(8:8,COLUMN()-3))</f>
        <v>1408.72</v>
      </c>
      <c r="Q8" s="49">
        <f t="shared" si="0"/>
        <v>7.8297591854382574E-4</v>
      </c>
    </row>
    <row r="9" spans="1:17" ht="18.75" x14ac:dyDescent="0.3">
      <c r="A9" s="1" t="str">
        <f>aws_spend[[#This Row],[Month]]</f>
        <v>ms</v>
      </c>
      <c r="B9" s="46">
        <f>aws_spend[[#This Row],[Dec]]</f>
        <v>0</v>
      </c>
      <c r="C9" s="46">
        <f>aws_spend[[#This Row],[Jan]]</f>
        <v>0</v>
      </c>
      <c r="D9" s="46">
        <f>aws_spend[[#This Row],[Feb]]</f>
        <v>0</v>
      </c>
      <c r="E9" s="46">
        <f>aws_spend[[#This Row],[Mar]]</f>
        <v>0</v>
      </c>
      <c r="F9" s="46">
        <f>aws_spend[[#This Row],[Apr]]</f>
        <v>0</v>
      </c>
      <c r="G9" s="46">
        <f>aws_spend[[#This Row],[May]]</f>
        <v>0</v>
      </c>
      <c r="H9" s="46">
        <f>aws_spend[[#This Row],[Jun]]</f>
        <v>0</v>
      </c>
      <c r="I9" s="46">
        <f>aws_spend[[#This Row],[Jul]]</f>
        <v>0</v>
      </c>
      <c r="J9" s="46">
        <f>aws_spend[[#This Row],[Aug]]</f>
        <v>0</v>
      </c>
      <c r="K9" s="46">
        <f>aws_spend[[#This Row],[Sep]]</f>
        <v>0</v>
      </c>
      <c r="L9" s="46">
        <f>aws_spend[[#This Row],[Oct]]</f>
        <v>50.99</v>
      </c>
      <c r="M9" s="46">
        <f>aws_spend[[#This Row],[Nov]]</f>
        <v>343.2</v>
      </c>
      <c r="N9" s="9" cm="1">
        <f t="array" aca="1" ref="N9" ca="1">ABS(OFFSET(INDIRECT(ADDRESS(ROW(), COLUMN())),0,-1)-OFFSET(INDIRECT(ADDRESS(ROW(), COLUMN())),0,-2))</f>
        <v>292.20999999999998</v>
      </c>
      <c r="O9" s="12" cm="1">
        <f t="array" aca="1" ref="O9" ca="1">N9/OFFSET(INDIRECT(ADDRESS(ROW(), COLUMN())),0,-3)</f>
        <v>5.7307315159835257</v>
      </c>
      <c r="P9" s="2">
        <f>SUM(B9:INDEX(9:9,COLUMN()-3))</f>
        <v>394.19</v>
      </c>
      <c r="Q9" s="49">
        <f t="shared" si="0"/>
        <v>2.1909341624367558E-4</v>
      </c>
    </row>
    <row r="10" spans="1:17" ht="18.75" x14ac:dyDescent="0.3">
      <c r="A10" s="1" t="str">
        <f>aws_spend[[#This Row],[Month]]</f>
        <v>ss</v>
      </c>
      <c r="B10" s="46">
        <f>aws_spend[[#This Row],[Dec]]</f>
        <v>67255.210000000006</v>
      </c>
      <c r="C10" s="46">
        <f>aws_spend[[#This Row],[Jan]]</f>
        <v>79711.03</v>
      </c>
      <c r="D10" s="46">
        <f>aws_spend[[#This Row],[Feb]]</f>
        <v>73165.31</v>
      </c>
      <c r="E10" s="46">
        <f>aws_spend[[#This Row],[Mar]]</f>
        <v>80027.490000000005</v>
      </c>
      <c r="F10" s="46">
        <f>aws_spend[[#This Row],[Apr]]</f>
        <v>69204.39</v>
      </c>
      <c r="G10" s="46">
        <f>aws_spend[[#This Row],[May]]</f>
        <v>67692.98</v>
      </c>
      <c r="H10" s="46">
        <f>aws_spend[[#This Row],[Jun]]</f>
        <v>65953.17</v>
      </c>
      <c r="I10" s="46">
        <f>aws_spend[[#This Row],[Jul]]</f>
        <v>70268.81</v>
      </c>
      <c r="J10" s="46">
        <f>aws_spend[[#This Row],[Aug]]</f>
        <v>70212.34</v>
      </c>
      <c r="K10" s="46">
        <f>aws_spend[[#This Row],[Sep]]</f>
        <v>68687.759999999995</v>
      </c>
      <c r="L10" s="46">
        <f>aws_spend[[#This Row],[Oct]]</f>
        <v>71145.48</v>
      </c>
      <c r="M10" s="46">
        <f>aws_spend[[#This Row],[Nov]]</f>
        <v>62972.83</v>
      </c>
      <c r="N10" s="9" cm="1">
        <f t="array" aca="1" ref="N10" ca="1">ABS(OFFSET(INDIRECT(ADDRESS(ROW(), COLUMN())),0,-1)-OFFSET(INDIRECT(ADDRESS(ROW(), COLUMN())),0,-2))</f>
        <v>8172.6499999999942</v>
      </c>
      <c r="O10" s="12" cm="1">
        <f t="array" aca="1" ref="O10" ca="1">N10/OFFSET(INDIRECT(ADDRESS(ROW(), COLUMN())),0,-3)</f>
        <v>0.11487237137201119</v>
      </c>
      <c r="P10" s="2">
        <f>SUM(B10:INDEX(10:10,COLUMN()-3))</f>
        <v>846296.79999999981</v>
      </c>
      <c r="Q10" s="49">
        <f t="shared" si="0"/>
        <v>0.47037737402798302</v>
      </c>
    </row>
    <row r="11" spans="1:17" ht="18.75" x14ac:dyDescent="0.3">
      <c r="A11" s="1" t="str">
        <f>aws_spend[[#This Row],[Month]]</f>
        <v>stop</v>
      </c>
      <c r="B11" s="46">
        <f>aws_spend[[#This Row],[Dec]]</f>
        <v>0</v>
      </c>
      <c r="C11" s="46">
        <f>aws_spend[[#This Row],[Jan]]</f>
        <v>0</v>
      </c>
      <c r="D11" s="46">
        <f>aws_spend[[#This Row],[Feb]]</f>
        <v>0</v>
      </c>
      <c r="E11" s="46">
        <f>aws_spend[[#This Row],[Mar]]</f>
        <v>0</v>
      </c>
      <c r="F11" s="46">
        <f>aws_spend[[#This Row],[Apr]]</f>
        <v>0</v>
      </c>
      <c r="G11" s="46">
        <f>aws_spend[[#This Row],[May]]</f>
        <v>0</v>
      </c>
      <c r="H11" s="46">
        <f>aws_spend[[#This Row],[Jun]]</f>
        <v>0</v>
      </c>
      <c r="I11" s="46">
        <f>aws_spend[[#This Row],[Jul]]</f>
        <v>0</v>
      </c>
      <c r="J11" s="46">
        <f>aws_spend[[#This Row],[Aug]]</f>
        <v>0</v>
      </c>
      <c r="K11" s="46">
        <f>aws_spend[[#This Row],[Sep]]</f>
        <v>0</v>
      </c>
      <c r="L11" s="46">
        <f>aws_spend[[#This Row],[Oct]]</f>
        <v>0</v>
      </c>
      <c r="M11" s="46">
        <f>aws_spend[[#This Row],[Nov]]</f>
        <v>0</v>
      </c>
      <c r="N11" s="9" cm="1">
        <f t="array" aca="1" ref="N11" ca="1">ABS(OFFSET(INDIRECT(ADDRESS(ROW(), COLUMN())),0,-1)-OFFSET(INDIRECT(ADDRESS(ROW(), COLUMN())),0,-2))</f>
        <v>0</v>
      </c>
      <c r="O11" s="12" t="e" cm="1">
        <f t="array" aca="1" ref="O11" ca="1">N11/OFFSET(INDIRECT(ADDRESS(ROW(), COLUMN())),0,-3)</f>
        <v>#DIV/0!</v>
      </c>
      <c r="P11" s="2">
        <f>SUM(B11:INDEX(11:11,COLUMN()-3))</f>
        <v>0</v>
      </c>
      <c r="Q11" s="49">
        <f t="shared" si="0"/>
        <v>0</v>
      </c>
    </row>
    <row r="12" spans="1:17" ht="18.75" x14ac:dyDescent="0.3">
      <c r="A12" s="1" t="str">
        <f>aws_spend[[#This Row],[Month]]</f>
        <v>sw</v>
      </c>
      <c r="B12" s="46">
        <f>aws_spend[[#This Row],[Dec]]</f>
        <v>57385.32</v>
      </c>
      <c r="C12" s="46">
        <f>aws_spend[[#This Row],[Jan]]</f>
        <v>49506.12</v>
      </c>
      <c r="D12" s="46">
        <f>aws_spend[[#This Row],[Feb]]</f>
        <v>47233.43</v>
      </c>
      <c r="E12" s="46">
        <f>aws_spend[[#This Row],[Mar]]</f>
        <v>55519.57</v>
      </c>
      <c r="F12" s="46">
        <f>aws_spend[[#This Row],[Apr]]</f>
        <v>13304.73</v>
      </c>
      <c r="G12" s="46">
        <f>aws_spend[[#This Row],[May]]</f>
        <v>0</v>
      </c>
      <c r="H12" s="46">
        <f>aws_spend[[#This Row],[Jun]]</f>
        <v>0</v>
      </c>
      <c r="I12" s="46">
        <f>aws_spend[[#This Row],[Jul]]</f>
        <v>0</v>
      </c>
      <c r="J12" s="46">
        <f>aws_spend[[#This Row],[Aug]]</f>
        <v>0</v>
      </c>
      <c r="K12" s="46">
        <f>aws_spend[[#This Row],[Sep]]</f>
        <v>0</v>
      </c>
      <c r="L12" s="46">
        <f>aws_spend[[#This Row],[Oct]]</f>
        <v>0</v>
      </c>
      <c r="M12" s="46">
        <f>aws_spend[[#This Row],[Nov]]</f>
        <v>0</v>
      </c>
      <c r="N12" s="9" cm="1">
        <f t="array" aca="1" ref="N12" ca="1">ABS(OFFSET(INDIRECT(ADDRESS(ROW(), COLUMN())),0,-1)-OFFSET(INDIRECT(ADDRESS(ROW(), COLUMN())),0,-2))</f>
        <v>0</v>
      </c>
      <c r="O12" s="12" t="e" cm="1">
        <f t="array" aca="1" ref="O12" ca="1">N12/OFFSET(INDIRECT(ADDRESS(ROW(), COLUMN())),0,-3)</f>
        <v>#DIV/0!</v>
      </c>
      <c r="P12" s="2">
        <f>SUM(B12:INDEX(12:12,COLUMN()-3))</f>
        <v>222949.17</v>
      </c>
      <c r="Q12" s="49">
        <f t="shared" si="0"/>
        <v>0.12391662727109259</v>
      </c>
    </row>
    <row r="13" spans="1:17" ht="18.75" x14ac:dyDescent="0.3">
      <c r="A13" s="1" t="str">
        <f>aws_spend[[#This Row],[Month]]</f>
        <v>tca</v>
      </c>
      <c r="B13" s="46">
        <f>aws_spend[[#This Row],[Dec]]</f>
        <v>19901.41</v>
      </c>
      <c r="C13" s="46">
        <f>aws_spend[[#This Row],[Jan]]</f>
        <v>16742.66</v>
      </c>
      <c r="D13" s="46">
        <f>aws_spend[[#This Row],[Feb]]</f>
        <v>16642.849999999999</v>
      </c>
      <c r="E13" s="46">
        <f>aws_spend[[#This Row],[Mar]]</f>
        <v>17669.71</v>
      </c>
      <c r="F13" s="46">
        <f>aws_spend[[#This Row],[Apr]]</f>
        <v>14955.23</v>
      </c>
      <c r="G13" s="46">
        <f>aws_spend[[#This Row],[May]]</f>
        <v>14306.92</v>
      </c>
      <c r="H13" s="46">
        <f>aws_spend[[#This Row],[Jun]]</f>
        <v>14565.78</v>
      </c>
      <c r="I13" s="46">
        <f>aws_spend[[#This Row],[Jul]]</f>
        <v>15145.63</v>
      </c>
      <c r="J13" s="46">
        <f>aws_spend[[#This Row],[Aug]]</f>
        <v>15071.35</v>
      </c>
      <c r="K13" s="46">
        <f>aws_spend[[#This Row],[Sep]]</f>
        <v>15098.7</v>
      </c>
      <c r="L13" s="46">
        <f>aws_spend[[#This Row],[Oct]]</f>
        <v>15782.3</v>
      </c>
      <c r="M13" s="46">
        <f>aws_spend[[#This Row],[Nov]]</f>
        <v>15798.02</v>
      </c>
      <c r="N13" s="9"/>
      <c r="O13" s="12"/>
      <c r="P13" s="2">
        <f>SUM(B13:INDEX(13:13,COLUMN()-3))</f>
        <v>191680.56</v>
      </c>
      <c r="Q13" s="49">
        <f t="shared" si="0"/>
        <v>0.10653732646160692</v>
      </c>
    </row>
    <row r="14" spans="1:17" ht="18.75" x14ac:dyDescent="0.3">
      <c r="A14" s="3" t="s">
        <v>19</v>
      </c>
      <c r="B14" s="7">
        <f>aws_spend[[#This Row],[Dec]]</f>
        <v>204543.11</v>
      </c>
      <c r="C14" s="7">
        <f>aws_spend[[#This Row],[Jan]]</f>
        <v>191519.49</v>
      </c>
      <c r="D14" s="7">
        <f>aws_spend[[#This Row],[Feb]]</f>
        <v>180566.49</v>
      </c>
      <c r="E14" s="7">
        <f>aws_spend[[#This Row],[Mar]]</f>
        <v>198914.35</v>
      </c>
      <c r="F14" s="7">
        <f>aws_spend[[#This Row],[Apr]]</f>
        <v>138470.82</v>
      </c>
      <c r="G14" s="7">
        <f>aws_spend[[#This Row],[May]]</f>
        <v>123998.34</v>
      </c>
      <c r="H14" s="7">
        <f>aws_spend[[#This Row],[Jun]]</f>
        <v>122338.18</v>
      </c>
      <c r="I14" s="7">
        <f>aws_spend[[#This Row],[Jul]]</f>
        <v>127992.81</v>
      </c>
      <c r="J14" s="7">
        <f>aws_spend[[#This Row],[Aug]]</f>
        <v>128129.75</v>
      </c>
      <c r="K14" s="7">
        <f>aws_spend[[#This Row],[Sep]]</f>
        <v>126743.8</v>
      </c>
      <c r="L14" s="7">
        <f>aws_spend[[#This Row],[Oct]]</f>
        <v>134091</v>
      </c>
      <c r="M14" s="7">
        <f>aws_spend[[#This Row],[Nov]]</f>
        <v>121878.74</v>
      </c>
      <c r="N14" s="9" cm="1">
        <f t="array" aca="1" ref="N14" ca="1">ABS(OFFSET(INDIRECT(ADDRESS(ROW(), COLUMN())),0,-1)-OFFSET(INDIRECT(ADDRESS(ROW(), COLUMN())),0,-2))</f>
        <v>12212.259999999995</v>
      </c>
      <c r="O14" s="12" cm="1">
        <f t="array" aca="1" ref="O14" ca="1">N14/OFFSET(INDIRECT(ADDRESS(ROW(), COLUMN())),0,-3)</f>
        <v>9.1074419610562937E-2</v>
      </c>
      <c r="P14" s="7">
        <f>SUM(B14:INDEX(14:14,COLUMN()-3))</f>
        <v>1799186.8800000001</v>
      </c>
      <c r="Q14" s="49">
        <f>P14/$P$14</f>
        <v>1</v>
      </c>
    </row>
    <row r="16" spans="1:17" ht="18.75" x14ac:dyDescent="0.3">
      <c r="A16" s="4" t="s">
        <v>0</v>
      </c>
      <c r="B16" s="4" t="str">
        <f ca="1">OFFSET(N1,0,-2)</f>
        <v>Oct</v>
      </c>
      <c r="C16" s="4" t="str">
        <f ca="1">OFFSET(N1,0,-1)</f>
        <v>Nov</v>
      </c>
      <c r="D16" s="8" t="s">
        <v>2</v>
      </c>
      <c r="E16" s="18" t="s">
        <v>26</v>
      </c>
      <c r="F16" s="24" t="s">
        <v>28</v>
      </c>
      <c r="G16" s="24" t="s">
        <v>53</v>
      </c>
      <c r="H16" s="25" t="s">
        <v>46</v>
      </c>
      <c r="O16"/>
    </row>
    <row r="17" spans="1:15" ht="18.75" x14ac:dyDescent="0.3">
      <c r="A17" s="1" t="str">
        <f>A2</f>
        <v>ab</v>
      </c>
      <c r="B17" s="2">
        <f ca="1">OFFSET(N2,0,-2)</f>
        <v>29537.64</v>
      </c>
      <c r="C17" s="2">
        <f ca="1">OFFSET(O2,0,-2)</f>
        <v>28725.26</v>
      </c>
      <c r="D17" s="9">
        <f t="shared" ref="D17" ca="1" si="1">ABS(C17-B17)</f>
        <v>812.38000000000102</v>
      </c>
      <c r="E17" s="12">
        <f t="shared" ref="E17" ca="1" si="2">D17/B17</f>
        <v>2.7503212849774087E-2</v>
      </c>
      <c r="F17" s="21">
        <f ca="1">C17/OFFSET($N$14,0,-1)</f>
        <v>0.23568720844997246</v>
      </c>
      <c r="G17" s="27">
        <f t="shared" ref="G17:G28" si="3">P2</f>
        <v>308982.49</v>
      </c>
      <c r="H17" s="22">
        <f>G17/$P$14</f>
        <v>0.17173451709474447</v>
      </c>
      <c r="O17"/>
    </row>
    <row r="18" spans="1:15" ht="18.75" x14ac:dyDescent="0.3">
      <c r="A18" s="1" t="str">
        <f>A3</f>
        <v>asp</v>
      </c>
      <c r="B18" s="2">
        <f ca="1">OFFSET(N3,0,-2)</f>
        <v>4620.2</v>
      </c>
      <c r="C18" s="2">
        <f ca="1">OFFSET(O3,0,-2)</f>
        <v>4515.62</v>
      </c>
      <c r="D18" s="9">
        <f t="shared" ref="D18:D19" ca="1" si="4">ABS(C18-B18)</f>
        <v>104.57999999999993</v>
      </c>
      <c r="E18" s="12">
        <f t="shared" ref="E18:E19" ca="1" si="5">D18/B18</f>
        <v>2.2635383749621214E-2</v>
      </c>
      <c r="F18" s="21">
        <f t="shared" ref="F18:F19" ca="1" si="6">C18/OFFSET($N$14,0,-1)</f>
        <v>3.7050104062447638E-2</v>
      </c>
      <c r="G18" s="27">
        <f t="shared" si="3"/>
        <v>57547.720000000008</v>
      </c>
      <c r="H18" s="22">
        <f t="shared" ref="H18:H19" si="7">G18/$P$14</f>
        <v>3.1985404428916245E-2</v>
      </c>
      <c r="O18"/>
    </row>
    <row r="19" spans="1:15" ht="18.75" x14ac:dyDescent="0.3">
      <c r="A19" s="1" t="str">
        <f t="shared" ref="A19:A28" si="8">A4</f>
        <v>bma</v>
      </c>
      <c r="B19" s="2">
        <f t="shared" ref="B19:C19" ca="1" si="9">OFFSET(N4,0,-2)</f>
        <v>719.03</v>
      </c>
      <c r="C19" s="2">
        <f t="shared" ca="1" si="9"/>
        <v>126.23</v>
      </c>
      <c r="D19" s="9">
        <f t="shared" ca="1" si="4"/>
        <v>592.79999999999995</v>
      </c>
      <c r="E19" s="12">
        <f t="shared" ca="1" si="5"/>
        <v>0.82444404266859517</v>
      </c>
      <c r="F19" s="21">
        <f t="shared" ca="1" si="6"/>
        <v>1.0357015505739558E-3</v>
      </c>
      <c r="G19" s="27">
        <f t="shared" si="3"/>
        <v>12827.969999999998</v>
      </c>
      <c r="H19" s="22">
        <f t="shared" si="7"/>
        <v>7.1298708003028552E-3</v>
      </c>
      <c r="O19"/>
    </row>
    <row r="20" spans="1:15" ht="18.75" x14ac:dyDescent="0.3">
      <c r="A20" s="1" t="str">
        <f t="shared" si="8"/>
        <v>cw</v>
      </c>
      <c r="B20" s="2">
        <f t="shared" ref="B20:C20" ca="1" si="10">OFFSET(N5,0,-2)</f>
        <v>5238.53</v>
      </c>
      <c r="C20" s="2">
        <f t="shared" ca="1" si="10"/>
        <v>4374.99</v>
      </c>
      <c r="D20" s="9">
        <f t="shared" ref="D20:D28" ca="1" si="11">ABS(C20-B20)</f>
        <v>863.54</v>
      </c>
      <c r="E20" s="12">
        <f t="shared" ref="E20:E28" ca="1" si="12">D20/B20</f>
        <v>0.16484395431542817</v>
      </c>
      <c r="F20" s="21">
        <f t="shared" ref="F20:F28" ca="1" si="13">C20/OFFSET($N$14,0,-1)</f>
        <v>3.5896252291416859E-2</v>
      </c>
      <c r="G20" s="27">
        <f t="shared" si="3"/>
        <v>59356.21</v>
      </c>
      <c r="H20" s="22">
        <f t="shared" ref="H20:H27" si="14">G20/$P$14</f>
        <v>3.2990575164709955E-2</v>
      </c>
      <c r="O20"/>
    </row>
    <row r="21" spans="1:15" ht="18.75" x14ac:dyDescent="0.3">
      <c r="A21" s="1" t="str">
        <f t="shared" si="8"/>
        <v>dc</v>
      </c>
      <c r="B21" s="2">
        <f t="shared" ref="B21:C21" ca="1" si="15">OFFSET(N6,0,-2)</f>
        <v>4915.6400000000003</v>
      </c>
      <c r="C21" s="2">
        <f t="shared" ca="1" si="15"/>
        <v>4692.47</v>
      </c>
      <c r="D21" s="9">
        <f t="shared" ca="1" si="11"/>
        <v>223.17000000000007</v>
      </c>
      <c r="E21" s="12">
        <f t="shared" ca="1" si="12"/>
        <v>4.5399988607790653E-2</v>
      </c>
      <c r="F21" s="21">
        <f t="shared" ca="1" si="13"/>
        <v>3.850113645743302E-2</v>
      </c>
      <c r="G21" s="27">
        <f t="shared" si="3"/>
        <v>61189.369999999995</v>
      </c>
      <c r="H21" s="22">
        <f t="shared" si="14"/>
        <v>3.4009457650113581E-2</v>
      </c>
      <c r="O21"/>
    </row>
    <row r="22" spans="1:15" ht="18.75" x14ac:dyDescent="0.3">
      <c r="A22" s="1" t="str">
        <f t="shared" si="8"/>
        <v>hwcg</v>
      </c>
      <c r="B22" s="2">
        <f t="shared" ref="B22:C22" ca="1" si="16">OFFSET(N7,0,-2)</f>
        <v>1957.68</v>
      </c>
      <c r="C22" s="2">
        <f t="shared" ca="1" si="16"/>
        <v>212.48</v>
      </c>
      <c r="D22" s="9">
        <f t="shared" ca="1" si="11"/>
        <v>1745.2</v>
      </c>
      <c r="E22" s="12">
        <f t="shared" ca="1" si="12"/>
        <v>0.89146336479915</v>
      </c>
      <c r="F22" s="21">
        <f t="shared" ca="1" si="13"/>
        <v>1.7433721418518109E-3</v>
      </c>
      <c r="G22" s="27">
        <f t="shared" si="3"/>
        <v>36553.680000000008</v>
      </c>
      <c r="H22" s="22">
        <f t="shared" si="14"/>
        <v>2.0316777765742713E-2</v>
      </c>
      <c r="O22"/>
    </row>
    <row r="23" spans="1:15" ht="18.75" x14ac:dyDescent="0.3">
      <c r="A23" s="1" t="str">
        <f t="shared" si="8"/>
        <v>jl</v>
      </c>
      <c r="B23" s="2">
        <f t="shared" ref="B23:C23" ca="1" si="17">OFFSET(N8,0,-2)</f>
        <v>123.51</v>
      </c>
      <c r="C23" s="2">
        <f t="shared" ca="1" si="17"/>
        <v>117.64</v>
      </c>
      <c r="D23" s="9">
        <f t="shared" ca="1" si="11"/>
        <v>5.8700000000000045</v>
      </c>
      <c r="E23" s="12">
        <f t="shared" ca="1" si="12"/>
        <v>4.752651607157319E-2</v>
      </c>
      <c r="F23" s="21">
        <f t="shared" ca="1" si="13"/>
        <v>9.6522166212089158E-4</v>
      </c>
      <c r="G23" s="27">
        <f t="shared" si="3"/>
        <v>1408.72</v>
      </c>
      <c r="H23" s="22">
        <f t="shared" si="14"/>
        <v>7.8297591854382574E-4</v>
      </c>
      <c r="O23"/>
    </row>
    <row r="24" spans="1:15" ht="18.75" x14ac:dyDescent="0.3">
      <c r="A24" s="1" t="str">
        <f t="shared" si="8"/>
        <v>ms</v>
      </c>
      <c r="B24" s="2">
        <f t="shared" ref="B24:C24" ca="1" si="18">OFFSET(N9,0,-2)</f>
        <v>50.99</v>
      </c>
      <c r="C24" s="2">
        <f t="shared" ca="1" si="18"/>
        <v>343.2</v>
      </c>
      <c r="D24" s="9">
        <f t="shared" ca="1" si="11"/>
        <v>292.20999999999998</v>
      </c>
      <c r="E24" s="12">
        <f t="shared" ca="1" si="12"/>
        <v>5.7307315159835257</v>
      </c>
      <c r="F24" s="21">
        <f t="shared" ca="1" si="13"/>
        <v>2.8159135875543183E-3</v>
      </c>
      <c r="G24" s="27">
        <f t="shared" si="3"/>
        <v>394.19</v>
      </c>
      <c r="H24" s="22">
        <f t="shared" si="14"/>
        <v>2.1909341624367558E-4</v>
      </c>
      <c r="O24"/>
    </row>
    <row r="25" spans="1:15" ht="18.75" x14ac:dyDescent="0.3">
      <c r="A25" s="1" t="str">
        <f t="shared" si="8"/>
        <v>ss</v>
      </c>
      <c r="B25" s="2">
        <f t="shared" ref="B25:C25" ca="1" si="19">OFFSET(N10,0,-2)</f>
        <v>71145.48</v>
      </c>
      <c r="C25" s="2">
        <f t="shared" ca="1" si="19"/>
        <v>62972.83</v>
      </c>
      <c r="D25" s="9">
        <f t="shared" ca="1" si="11"/>
        <v>8172.6499999999942</v>
      </c>
      <c r="E25" s="12">
        <f t="shared" ca="1" si="12"/>
        <v>0.11487237137201119</v>
      </c>
      <c r="F25" s="21">
        <f t="shared" ca="1" si="13"/>
        <v>0.51668428800625932</v>
      </c>
      <c r="G25" s="27">
        <f t="shared" si="3"/>
        <v>846296.79999999981</v>
      </c>
      <c r="H25" s="22">
        <f t="shared" si="14"/>
        <v>0.47037737402798302</v>
      </c>
      <c r="O25"/>
    </row>
    <row r="26" spans="1:15" ht="18.75" hidden="1" x14ac:dyDescent="0.3">
      <c r="A26" s="1" t="str">
        <f t="shared" si="8"/>
        <v>stop</v>
      </c>
      <c r="B26" s="2">
        <f t="shared" ref="B26:C26" ca="1" si="20">OFFSET(N11,0,-2)</f>
        <v>0</v>
      </c>
      <c r="C26" s="2">
        <f t="shared" ca="1" si="20"/>
        <v>0</v>
      </c>
      <c r="D26" s="9">
        <f t="shared" ca="1" si="11"/>
        <v>0</v>
      </c>
      <c r="E26" s="12" t="e">
        <f t="shared" ca="1" si="12"/>
        <v>#DIV/0!</v>
      </c>
      <c r="F26" s="21">
        <f t="shared" ca="1" si="13"/>
        <v>0</v>
      </c>
      <c r="G26" s="27">
        <f t="shared" si="3"/>
        <v>0</v>
      </c>
      <c r="H26" s="22">
        <f t="shared" si="14"/>
        <v>0</v>
      </c>
      <c r="O26"/>
    </row>
    <row r="27" spans="1:15" ht="18.75" hidden="1" x14ac:dyDescent="0.3">
      <c r="A27" s="1" t="str">
        <f t="shared" si="8"/>
        <v>sw</v>
      </c>
      <c r="B27" s="2">
        <f t="shared" ref="B27:C27" ca="1" si="21">OFFSET(N12,0,-2)</f>
        <v>0</v>
      </c>
      <c r="C27" s="2">
        <f t="shared" ca="1" si="21"/>
        <v>0</v>
      </c>
      <c r="D27" s="9">
        <f t="shared" ca="1" si="11"/>
        <v>0</v>
      </c>
      <c r="E27" s="12" t="e">
        <f t="shared" ca="1" si="12"/>
        <v>#DIV/0!</v>
      </c>
      <c r="F27" s="21">
        <f t="shared" ca="1" si="13"/>
        <v>0</v>
      </c>
      <c r="G27" s="27">
        <f t="shared" si="3"/>
        <v>222949.17</v>
      </c>
      <c r="H27" s="22">
        <f t="shared" si="14"/>
        <v>0.12391662727109259</v>
      </c>
      <c r="I27" s="10"/>
      <c r="O27"/>
    </row>
    <row r="28" spans="1:15" ht="18.75" x14ac:dyDescent="0.3">
      <c r="A28" s="1" t="str">
        <f t="shared" si="8"/>
        <v>tca</v>
      </c>
      <c r="B28" s="2">
        <f t="shared" ref="B28:C28" ca="1" si="22">OFFSET(N13,0,-2)</f>
        <v>15782.3</v>
      </c>
      <c r="C28" s="2">
        <f t="shared" ca="1" si="22"/>
        <v>15798.02</v>
      </c>
      <c r="D28" s="9">
        <f t="shared" ca="1" si="11"/>
        <v>15.720000000001164</v>
      </c>
      <c r="E28" s="12">
        <f t="shared" ca="1" si="12"/>
        <v>9.9605253987068839E-4</v>
      </c>
      <c r="F28" s="21">
        <f t="shared" ca="1" si="13"/>
        <v>0.12962080179036967</v>
      </c>
      <c r="G28" s="27">
        <f t="shared" si="3"/>
        <v>191680.56</v>
      </c>
      <c r="H28" s="22">
        <f t="shared" ref="H28" si="23">G28/$P$14</f>
        <v>0.10653732646160692</v>
      </c>
      <c r="I28" s="10"/>
      <c r="O28"/>
    </row>
    <row r="29" spans="1:15" ht="18.75" x14ac:dyDescent="0.3">
      <c r="A29" s="3" t="s">
        <v>19</v>
      </c>
      <c r="B29" s="30">
        <f ca="1">SUM(B17:B28)</f>
        <v>134090.99999999997</v>
      </c>
      <c r="C29" s="30">
        <f ca="1">SUM(C17:C28)</f>
        <v>121878.74</v>
      </c>
      <c r="D29" s="28">
        <f t="shared" ref="D29" ca="1" si="24">ABS(C29-B29)</f>
        <v>12212.259999999966</v>
      </c>
      <c r="E29" s="29">
        <f t="shared" ref="E29" ca="1" si="25">D29/B29</f>
        <v>9.1074419610562743E-2</v>
      </c>
      <c r="F29" s="21"/>
      <c r="G29" s="17">
        <f ca="1">C29/$P$14</f>
        <v>6.7741011984258137E-2</v>
      </c>
      <c r="H29" s="15"/>
      <c r="I29" s="16"/>
      <c r="O29"/>
    </row>
    <row r="31" spans="1:15" ht="18.75" x14ac:dyDescent="0.3">
      <c r="A31" s="4" t="s">
        <v>0</v>
      </c>
      <c r="B31" s="4" t="str">
        <f ca="1">OFFSET(N1,0,-2)</f>
        <v>Oct</v>
      </c>
      <c r="C31" s="4" t="str">
        <f ca="1">OFFSET(N1,0,-1)</f>
        <v>Nov</v>
      </c>
      <c r="D31" s="8" t="s">
        <v>2</v>
      </c>
      <c r="E31" s="18" t="s">
        <v>26</v>
      </c>
    </row>
    <row r="32" spans="1:15" ht="18.75" x14ac:dyDescent="0.3">
      <c r="A32" s="1" t="str">
        <f>A2</f>
        <v>ab</v>
      </c>
      <c r="B32" s="51">
        <f ca="1">OFFSET(N2,0,-2)/DAY(EOMONTH(DATE(YEAR(TODAY()),MONTH(DATEVALUE("1"&amp;$B$31)),1),0))</f>
        <v>952.82709677419348</v>
      </c>
      <c r="C32" s="51">
        <f ca="1">OFFSET(O2,0,-2)/DAY(EOMONTH(DATE(YEAR(TODAY()),MONTH(DATEVALUE("1"&amp;$C$31)),1),0))</f>
        <v>957.50866666666661</v>
      </c>
      <c r="D32" s="9">
        <f t="shared" ref="D32:D44" ca="1" si="26">ABS(C32-B32)</f>
        <v>4.681569892473135</v>
      </c>
      <c r="E32" s="12">
        <f t="shared" ref="E32:E44" ca="1" si="27">D32/B32</f>
        <v>4.9133467219001654E-3</v>
      </c>
    </row>
    <row r="33" spans="1:5" ht="18.75" x14ac:dyDescent="0.3">
      <c r="A33" s="1" t="str">
        <f>A3</f>
        <v>asp</v>
      </c>
      <c r="B33" s="51">
        <f ca="1">OFFSET(N3,0,-2)/DAY(EOMONTH(DATE(YEAR(TODAY()),MONTH(DATEVALUE("1"&amp;$B$31)),1),0))</f>
        <v>149.03870967741935</v>
      </c>
      <c r="C33" s="51">
        <f ca="1">OFFSET(O3,0,-2)/DAY(EOMONTH(DATE(YEAR(TODAY()),MONTH(DATEVALUE("1"&amp;$C$31)),1),0))</f>
        <v>150.52066666666667</v>
      </c>
      <c r="D33" s="9">
        <f t="shared" ca="1" si="26"/>
        <v>1.4819569892473226</v>
      </c>
      <c r="E33" s="12">
        <f t="shared" ca="1" si="27"/>
        <v>9.943436792058136E-3</v>
      </c>
    </row>
    <row r="34" spans="1:5" ht="18.75" x14ac:dyDescent="0.3">
      <c r="A34" s="1" t="str">
        <f t="shared" ref="A34:A43" si="28">A4</f>
        <v>bma</v>
      </c>
      <c r="B34" s="51">
        <f t="shared" ref="B34:B43" ca="1" si="29">OFFSET(N4,0,-2)/DAY(EOMONTH(DATE(YEAR(TODAY()),MONTH(DATEVALUE("1"&amp;$B$31)),1),0))</f>
        <v>23.194516129032259</v>
      </c>
      <c r="C34" s="51">
        <f t="shared" ref="C34:C43" ca="1" si="30">OFFSET(O4,0,-2)/DAY(EOMONTH(DATE(YEAR(TODAY()),MONTH(DATEVALUE("1"&amp;$C$31)),1),0))</f>
        <v>4.2076666666666664</v>
      </c>
      <c r="D34" s="9">
        <f t="shared" ref="D34:D43" ca="1" si="31">ABS(C34-B34)</f>
        <v>18.986849462365591</v>
      </c>
      <c r="E34" s="12">
        <f t="shared" ref="E34:E43" ca="1" si="32">D34/B34</f>
        <v>0.81859217742421497</v>
      </c>
    </row>
    <row r="35" spans="1:5" ht="18.75" x14ac:dyDescent="0.3">
      <c r="A35" s="1" t="str">
        <f t="shared" si="28"/>
        <v>cw</v>
      </c>
      <c r="B35" s="51">
        <f t="shared" ca="1" si="29"/>
        <v>168.9848387096774</v>
      </c>
      <c r="C35" s="51">
        <f t="shared" ca="1" si="30"/>
        <v>145.833</v>
      </c>
      <c r="D35" s="9">
        <f t="shared" ca="1" si="31"/>
        <v>23.151838709677406</v>
      </c>
      <c r="E35" s="12">
        <f t="shared" ca="1" si="32"/>
        <v>0.13700541945927572</v>
      </c>
    </row>
    <row r="36" spans="1:5" ht="18.75" x14ac:dyDescent="0.3">
      <c r="A36" s="1" t="str">
        <f t="shared" si="28"/>
        <v>dc</v>
      </c>
      <c r="B36" s="51">
        <f t="shared" ca="1" si="29"/>
        <v>158.56903225806454</v>
      </c>
      <c r="C36" s="51">
        <f t="shared" ca="1" si="30"/>
        <v>156.41566666666668</v>
      </c>
      <c r="D36" s="9">
        <f t="shared" ca="1" si="31"/>
        <v>2.1533655913978578</v>
      </c>
      <c r="E36" s="12">
        <f t="shared" ca="1" si="32"/>
        <v>1.3579988228050382E-2</v>
      </c>
    </row>
    <row r="37" spans="1:5" ht="18.75" x14ac:dyDescent="0.3">
      <c r="A37" s="1" t="str">
        <f t="shared" si="28"/>
        <v>hwcg</v>
      </c>
      <c r="B37" s="51">
        <f t="shared" ca="1" si="29"/>
        <v>63.150967741935489</v>
      </c>
      <c r="C37" s="51">
        <f t="shared" ca="1" si="30"/>
        <v>7.0826666666666664</v>
      </c>
      <c r="D37" s="9">
        <f t="shared" ca="1" si="31"/>
        <v>56.06830107526882</v>
      </c>
      <c r="E37" s="12">
        <f t="shared" ca="1" si="32"/>
        <v>0.88784547695912164</v>
      </c>
    </row>
    <row r="38" spans="1:5" ht="18.75" x14ac:dyDescent="0.3">
      <c r="A38" s="1" t="str">
        <f t="shared" si="28"/>
        <v>jl</v>
      </c>
      <c r="B38" s="51">
        <f t="shared" ca="1" si="29"/>
        <v>3.9841935483870969</v>
      </c>
      <c r="C38" s="51">
        <f t="shared" ca="1" si="30"/>
        <v>3.9213333333333336</v>
      </c>
      <c r="D38" s="9">
        <f t="shared" ca="1" si="31"/>
        <v>6.286021505376338E-2</v>
      </c>
      <c r="E38" s="12">
        <f t="shared" ca="1" si="32"/>
        <v>1.5777399940625575E-2</v>
      </c>
    </row>
    <row r="39" spans="1:5" ht="18.75" x14ac:dyDescent="0.3">
      <c r="A39" s="1" t="str">
        <f t="shared" si="28"/>
        <v>ms</v>
      </c>
      <c r="B39" s="51">
        <f t="shared" ca="1" si="29"/>
        <v>1.6448387096774195</v>
      </c>
      <c r="C39" s="51">
        <f t="shared" ca="1" si="30"/>
        <v>11.44</v>
      </c>
      <c r="D39" s="9">
        <f t="shared" ca="1" si="31"/>
        <v>9.7951612903225804</v>
      </c>
      <c r="E39" s="12">
        <f t="shared" ca="1" si="32"/>
        <v>5.9550892331829761</v>
      </c>
    </row>
    <row r="40" spans="1:5" ht="18.75" x14ac:dyDescent="0.3">
      <c r="A40" s="1" t="str">
        <f t="shared" si="28"/>
        <v>ss</v>
      </c>
      <c r="B40" s="51">
        <f t="shared" ca="1" si="29"/>
        <v>2295.0154838709677</v>
      </c>
      <c r="C40" s="51">
        <f t="shared" ca="1" si="30"/>
        <v>2099.0943333333335</v>
      </c>
      <c r="D40" s="9">
        <f t="shared" ca="1" si="31"/>
        <v>195.92115053763428</v>
      </c>
      <c r="E40" s="12">
        <f t="shared" ca="1" si="32"/>
        <v>8.5368117084411582E-2</v>
      </c>
    </row>
    <row r="41" spans="1:5" ht="18.75" hidden="1" x14ac:dyDescent="0.3">
      <c r="A41" s="1" t="str">
        <f t="shared" si="28"/>
        <v>stop</v>
      </c>
      <c r="B41" s="51">
        <f t="shared" ca="1" si="29"/>
        <v>0</v>
      </c>
      <c r="C41" s="51">
        <f t="shared" ca="1" si="30"/>
        <v>0</v>
      </c>
      <c r="D41" s="9">
        <f t="shared" ca="1" si="31"/>
        <v>0</v>
      </c>
      <c r="E41" s="12" t="e">
        <f t="shared" ca="1" si="32"/>
        <v>#DIV/0!</v>
      </c>
    </row>
    <row r="42" spans="1:5" ht="18.75" hidden="1" x14ac:dyDescent="0.3">
      <c r="A42" s="1" t="str">
        <f t="shared" si="28"/>
        <v>sw</v>
      </c>
      <c r="B42" s="51">
        <f t="shared" ca="1" si="29"/>
        <v>0</v>
      </c>
      <c r="C42" s="51">
        <f t="shared" ca="1" si="30"/>
        <v>0</v>
      </c>
      <c r="D42" s="9">
        <f t="shared" ca="1" si="31"/>
        <v>0</v>
      </c>
      <c r="E42" s="12" t="e">
        <f t="shared" ca="1" si="32"/>
        <v>#DIV/0!</v>
      </c>
    </row>
    <row r="43" spans="1:5" ht="18.75" x14ac:dyDescent="0.3">
      <c r="A43" s="1" t="str">
        <f t="shared" si="28"/>
        <v>tca</v>
      </c>
      <c r="B43" s="51">
        <f t="shared" ca="1" si="29"/>
        <v>509.10645161290319</v>
      </c>
      <c r="C43" s="51">
        <f t="shared" ca="1" si="30"/>
        <v>526.60066666666671</v>
      </c>
      <c r="D43" s="9">
        <f t="shared" ca="1" si="31"/>
        <v>17.494215053763526</v>
      </c>
      <c r="E43" s="12">
        <f t="shared" ca="1" si="32"/>
        <v>3.436258762453314E-2</v>
      </c>
    </row>
    <row r="44" spans="1:5" ht="18.75" x14ac:dyDescent="0.3">
      <c r="A44" s="3" t="s">
        <v>19</v>
      </c>
      <c r="B44" s="30">
        <f ca="1">SUM(B32:B42)</f>
        <v>3816.4096774193549</v>
      </c>
      <c r="C44" s="31">
        <f ca="1">SUM(C32:C41)</f>
        <v>3536.0240000000003</v>
      </c>
      <c r="D44" s="28">
        <f t="shared" ca="1" si="26"/>
        <v>280.38567741935458</v>
      </c>
      <c r="E44" s="29">
        <f t="shared" ca="1" si="27"/>
        <v>7.3468443149151255E-2</v>
      </c>
    </row>
  </sheetData>
  <sortState xmlns:xlrd2="http://schemas.microsoft.com/office/spreadsheetml/2017/richdata2" ref="A2:Q12">
    <sortCondition descending="1" ref="I2:I12"/>
  </sortState>
  <conditionalFormatting sqref="D17:E29">
    <cfRule type="expression" dxfId="29" priority="11">
      <formula>$C17&gt;$B17</formula>
    </cfRule>
    <cfRule type="expression" dxfId="28" priority="12">
      <formula>$C17&lt;$B17</formula>
    </cfRule>
  </conditionalFormatting>
  <conditionalFormatting sqref="D32:E44">
    <cfRule type="expression" dxfId="27" priority="1">
      <formula>$C17&gt;$B17</formula>
    </cfRule>
    <cfRule type="expression" dxfId="26" priority="2">
      <formula>$C17&lt;$B17</formula>
    </cfRule>
  </conditionalFormatting>
  <conditionalFormatting sqref="N2:N14">
    <cfRule type="expression" dxfId="25" priority="7">
      <formula>OFFSET(INDIRECT(ADDRESS(ROW(), COLUMN())),0,-1)&gt;OFFSET(INDIRECT(ADDRESS(ROW(), COLUMN())),0,-2)</formula>
    </cfRule>
    <cfRule type="expression" dxfId="24" priority="8">
      <formula>OFFSET(INDIRECT(ADDRESS(ROW(), COLUMN())),0,-1)&lt;OFFSET(INDIRECT(ADDRESS(ROW(), COLUMN())),0,-2)</formula>
    </cfRule>
  </conditionalFormatting>
  <conditionalFormatting sqref="O2:O14">
    <cfRule type="expression" dxfId="23" priority="27">
      <formula>OFFSET(INDIRECT(ADDRESS(ROW(), COLUMN())),0,-2)&gt;OFFSET(INDIRECT(ADDRESS(ROW(), COLUMN())),0,-3)</formula>
    </cfRule>
    <cfRule type="expression" dxfId="22" priority="29">
      <formula>OFFSET(INDIRECT(ADDRESS(ROW(), COLUMN())),0,-2)&lt;OFFSET(INDIRECT(ADDRESS(ROW(), COLUMN())),0,-3)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290E5-3C6F-4B78-9AAD-F5FE0D1A891D}">
  <dimension ref="A1:M14"/>
  <sheetViews>
    <sheetView workbookViewId="0">
      <selection activeCell="H23" sqref="H23"/>
    </sheetView>
  </sheetViews>
  <sheetFormatPr defaultRowHeight="15" x14ac:dyDescent="0.25"/>
  <cols>
    <col min="1" max="1" width="9" bestFit="1" customWidth="1"/>
    <col min="2" max="10" width="10" bestFit="1" customWidth="1"/>
    <col min="11" max="12" width="9" bestFit="1" customWidth="1"/>
    <col min="13" max="13" width="10" bestFit="1" customWidth="1"/>
    <col min="14" max="14" width="11.42578125" customWidth="1"/>
    <col min="15" max="15" width="5.140625" bestFit="1" customWidth="1"/>
  </cols>
  <sheetData>
    <row r="1" spans="1:13" x14ac:dyDescent="0.25">
      <c r="A1" t="s">
        <v>0</v>
      </c>
      <c r="B1" t="s">
        <v>43</v>
      </c>
      <c r="C1" t="s">
        <v>3</v>
      </c>
      <c r="D1" t="s">
        <v>4</v>
      </c>
      <c r="E1" t="s">
        <v>5</v>
      </c>
      <c r="F1" t="s">
        <v>6</v>
      </c>
      <c r="G1" t="s">
        <v>1</v>
      </c>
      <c r="H1" t="s">
        <v>7</v>
      </c>
      <c r="I1" t="s">
        <v>8</v>
      </c>
      <c r="J1" t="s">
        <v>9</v>
      </c>
      <c r="K1" t="s">
        <v>37</v>
      </c>
      <c r="L1" t="s">
        <v>38</v>
      </c>
      <c r="M1" t="s">
        <v>41</v>
      </c>
    </row>
    <row r="2" spans="1:13" x14ac:dyDescent="0.25">
      <c r="A2" t="s">
        <v>12</v>
      </c>
      <c r="B2">
        <v>28018.99</v>
      </c>
      <c r="C2">
        <v>23511.78</v>
      </c>
      <c r="D2">
        <v>24520.84</v>
      </c>
      <c r="E2">
        <v>26272.3</v>
      </c>
      <c r="F2">
        <v>23791.87</v>
      </c>
      <c r="G2">
        <v>24817.38</v>
      </c>
      <c r="H2">
        <v>25172.58</v>
      </c>
      <c r="I2">
        <v>24889.61</v>
      </c>
      <c r="J2">
        <v>24799.32</v>
      </c>
      <c r="K2">
        <v>24924.92</v>
      </c>
      <c r="L2">
        <v>29537.64</v>
      </c>
      <c r="M2">
        <v>28725.26</v>
      </c>
    </row>
    <row r="3" spans="1:13" x14ac:dyDescent="0.25">
      <c r="A3" t="s">
        <v>13</v>
      </c>
      <c r="B3">
        <v>7170.44</v>
      </c>
      <c r="C3">
        <v>6102.65</v>
      </c>
      <c r="D3">
        <v>4805.28</v>
      </c>
      <c r="E3">
        <v>4445.18</v>
      </c>
      <c r="F3">
        <v>4159.22</v>
      </c>
      <c r="G3">
        <v>4278.33</v>
      </c>
      <c r="H3">
        <v>4153.47</v>
      </c>
      <c r="I3">
        <v>4398.37</v>
      </c>
      <c r="J3">
        <v>4462.05</v>
      </c>
      <c r="K3">
        <v>4436.91</v>
      </c>
      <c r="L3">
        <v>4620.2</v>
      </c>
      <c r="M3">
        <v>4515.62</v>
      </c>
    </row>
    <row r="4" spans="1:13" x14ac:dyDescent="0.25">
      <c r="A4" t="s">
        <v>17</v>
      </c>
      <c r="B4">
        <v>1417.97</v>
      </c>
      <c r="C4">
        <v>1300.5999999999999</v>
      </c>
      <c r="D4">
        <v>1196.8800000000001</v>
      </c>
      <c r="E4">
        <v>1309.95</v>
      </c>
      <c r="F4">
        <v>1313.62</v>
      </c>
      <c r="G4">
        <v>1326.27</v>
      </c>
      <c r="H4">
        <v>1097.05</v>
      </c>
      <c r="I4">
        <v>1021.29</v>
      </c>
      <c r="J4">
        <v>1013.2</v>
      </c>
      <c r="K4">
        <v>985.88</v>
      </c>
      <c r="L4">
        <v>719.03</v>
      </c>
      <c r="M4">
        <v>126.23</v>
      </c>
    </row>
    <row r="5" spans="1:13" x14ac:dyDescent="0.25">
      <c r="A5" t="s">
        <v>11</v>
      </c>
      <c r="B5">
        <v>12673.99</v>
      </c>
      <c r="C5">
        <v>4357.0200000000004</v>
      </c>
      <c r="D5">
        <v>3696.47</v>
      </c>
      <c r="E5">
        <v>4034.71</v>
      </c>
      <c r="F5">
        <v>3448.16</v>
      </c>
      <c r="G5">
        <v>3516.08</v>
      </c>
      <c r="H5">
        <v>3468.97</v>
      </c>
      <c r="I5">
        <v>3877.55</v>
      </c>
      <c r="J5">
        <v>5104.17</v>
      </c>
      <c r="K5">
        <v>5565.57</v>
      </c>
      <c r="L5">
        <v>5238.53</v>
      </c>
      <c r="M5">
        <v>4374.99</v>
      </c>
    </row>
    <row r="6" spans="1:13" x14ac:dyDescent="0.25">
      <c r="A6" t="s">
        <v>15</v>
      </c>
      <c r="B6">
        <v>6090.15</v>
      </c>
      <c r="C6">
        <v>5896.16</v>
      </c>
      <c r="D6">
        <v>4936.88</v>
      </c>
      <c r="E6">
        <v>4982.84</v>
      </c>
      <c r="F6">
        <v>4843.93</v>
      </c>
      <c r="G6">
        <v>4988.43</v>
      </c>
      <c r="H6">
        <v>4851.29</v>
      </c>
      <c r="I6">
        <v>5150.95</v>
      </c>
      <c r="J6">
        <v>5002.41</v>
      </c>
      <c r="K6">
        <v>4838.22</v>
      </c>
      <c r="L6">
        <v>4915.6400000000003</v>
      </c>
      <c r="M6">
        <v>4692.47</v>
      </c>
    </row>
    <row r="7" spans="1:13" x14ac:dyDescent="0.25">
      <c r="A7" t="s">
        <v>14</v>
      </c>
      <c r="B7">
        <v>4516.9399999999996</v>
      </c>
      <c r="C7">
        <v>4287.5</v>
      </c>
      <c r="D7">
        <v>4269.38</v>
      </c>
      <c r="E7">
        <v>4533.7299999999996</v>
      </c>
      <c r="F7">
        <v>3330.49</v>
      </c>
      <c r="G7">
        <v>2950.47</v>
      </c>
      <c r="H7">
        <v>2956.37</v>
      </c>
      <c r="I7">
        <v>3118.43</v>
      </c>
      <c r="J7">
        <v>2339.2199999999998</v>
      </c>
      <c r="K7">
        <v>2080.9899999999998</v>
      </c>
      <c r="L7">
        <v>1957.68</v>
      </c>
      <c r="M7">
        <v>212.48</v>
      </c>
    </row>
    <row r="8" spans="1:13" x14ac:dyDescent="0.25">
      <c r="A8" t="s">
        <v>42</v>
      </c>
      <c r="B8">
        <v>112.69</v>
      </c>
      <c r="C8">
        <v>103.97</v>
      </c>
      <c r="D8">
        <v>99.17</v>
      </c>
      <c r="E8">
        <v>118.87</v>
      </c>
      <c r="F8">
        <v>119.18</v>
      </c>
      <c r="G8">
        <v>121.48</v>
      </c>
      <c r="H8">
        <v>119.5</v>
      </c>
      <c r="I8">
        <v>122.17</v>
      </c>
      <c r="J8">
        <v>125.69</v>
      </c>
      <c r="K8">
        <v>124.85</v>
      </c>
      <c r="L8">
        <v>123.51</v>
      </c>
      <c r="M8">
        <v>117.64</v>
      </c>
    </row>
    <row r="9" spans="1:13" x14ac:dyDescent="0.25">
      <c r="A9" t="s">
        <v>82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50.99</v>
      </c>
      <c r="M9">
        <v>343.2</v>
      </c>
    </row>
    <row r="10" spans="1:13" x14ac:dyDescent="0.25">
      <c r="A10" t="s">
        <v>39</v>
      </c>
      <c r="B10">
        <v>67255.210000000006</v>
      </c>
      <c r="C10">
        <v>79711.03</v>
      </c>
      <c r="D10">
        <v>73165.31</v>
      </c>
      <c r="E10">
        <v>80027.490000000005</v>
      </c>
      <c r="F10">
        <v>69204.39</v>
      </c>
      <c r="G10">
        <v>67692.98</v>
      </c>
      <c r="H10">
        <v>65953.17</v>
      </c>
      <c r="I10">
        <v>70268.81</v>
      </c>
      <c r="J10">
        <v>70212.34</v>
      </c>
      <c r="K10">
        <v>68687.759999999995</v>
      </c>
      <c r="L10">
        <v>71145.48</v>
      </c>
      <c r="M10">
        <v>62972.83</v>
      </c>
    </row>
    <row r="11" spans="1:13" x14ac:dyDescent="0.25">
      <c r="A11" t="s">
        <v>48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 t="s">
        <v>16</v>
      </c>
      <c r="B12">
        <v>57385.32</v>
      </c>
      <c r="C12">
        <v>49506.12</v>
      </c>
      <c r="D12">
        <v>47233.43</v>
      </c>
      <c r="E12">
        <v>55519.57</v>
      </c>
      <c r="F12">
        <v>13304.73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5">
      <c r="A13" t="s">
        <v>10</v>
      </c>
      <c r="B13">
        <v>19901.41</v>
      </c>
      <c r="C13">
        <v>16742.66</v>
      </c>
      <c r="D13">
        <v>16642.849999999999</v>
      </c>
      <c r="E13">
        <v>17669.71</v>
      </c>
      <c r="F13">
        <v>14955.23</v>
      </c>
      <c r="G13">
        <v>14306.92</v>
      </c>
      <c r="H13">
        <v>14565.78</v>
      </c>
      <c r="I13">
        <v>15145.63</v>
      </c>
      <c r="J13">
        <v>15071.35</v>
      </c>
      <c r="K13">
        <v>15098.7</v>
      </c>
      <c r="L13">
        <v>15782.3</v>
      </c>
      <c r="M13">
        <v>15798.02</v>
      </c>
    </row>
    <row r="14" spans="1:13" x14ac:dyDescent="0.25">
      <c r="A14" t="s">
        <v>18</v>
      </c>
      <c r="B14">
        <v>204543.11</v>
      </c>
      <c r="C14">
        <v>191519.49</v>
      </c>
      <c r="D14">
        <v>180566.49</v>
      </c>
      <c r="E14">
        <v>198914.35</v>
      </c>
      <c r="F14">
        <v>138470.82</v>
      </c>
      <c r="G14">
        <v>123998.34</v>
      </c>
      <c r="H14">
        <v>122338.18</v>
      </c>
      <c r="I14">
        <v>127992.81</v>
      </c>
      <c r="J14">
        <v>128129.75</v>
      </c>
      <c r="K14">
        <v>126743.8</v>
      </c>
      <c r="L14">
        <v>134091</v>
      </c>
      <c r="M14">
        <v>121878.74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9AA3F-99BD-432B-A13B-E2145E1649F3}">
  <dimension ref="A1:R37"/>
  <sheetViews>
    <sheetView topLeftCell="A18" workbookViewId="0">
      <selection activeCell="A26" sqref="A26:E37"/>
    </sheetView>
  </sheetViews>
  <sheetFormatPr defaultRowHeight="15" x14ac:dyDescent="0.25"/>
  <cols>
    <col min="1" max="1" width="48.28515625" bestFit="1" customWidth="1"/>
    <col min="2" max="3" width="16" bestFit="1" customWidth="1"/>
    <col min="4" max="4" width="14.42578125" bestFit="1" customWidth="1"/>
    <col min="5" max="5" width="17.28515625" bestFit="1" customWidth="1"/>
    <col min="6" max="6" width="14.28515625" bestFit="1" customWidth="1"/>
    <col min="7" max="7" width="18.42578125" bestFit="1" customWidth="1"/>
    <col min="8" max="8" width="18" bestFit="1" customWidth="1"/>
    <col min="9" max="12" width="14.28515625" bestFit="1" customWidth="1"/>
    <col min="13" max="13" width="14.28515625" customWidth="1"/>
    <col min="14" max="14" width="14.42578125" bestFit="1" customWidth="1"/>
    <col min="15" max="15" width="17.28515625" bestFit="1" customWidth="1"/>
    <col min="16" max="16" width="14.7109375" customWidth="1"/>
    <col min="17" max="17" width="18" bestFit="1" customWidth="1"/>
    <col min="18" max="18" width="18.42578125" bestFit="1" customWidth="1"/>
  </cols>
  <sheetData>
    <row r="1" spans="1:18" ht="18.75" x14ac:dyDescent="0.3">
      <c r="A1" s="4" t="str">
        <f>aws_spend_top_services[[#Headers],[Month]]</f>
        <v>Month</v>
      </c>
      <c r="B1" s="4" t="str">
        <f>aws_spend_top_services[[#Headers],[Dec]]</f>
        <v>Dec</v>
      </c>
      <c r="C1" s="4" t="str">
        <f>aws_spend_top_services[[#Headers],[Jan]]</f>
        <v>Jan</v>
      </c>
      <c r="D1" s="4" t="str">
        <f>aws_spend_top_services[[#Headers],[Feb]]</f>
        <v>Feb</v>
      </c>
      <c r="E1" s="4" t="str">
        <f>aws_spend_top_services[[#Headers],[Mar]]</f>
        <v>Mar</v>
      </c>
      <c r="F1" s="4" t="str">
        <f>aws_spend_top_services[[#Headers],[Apr]]</f>
        <v>Apr</v>
      </c>
      <c r="G1" s="4" t="str">
        <f>aws_spend_top_services[[#Headers],[May]]</f>
        <v>May</v>
      </c>
      <c r="H1" s="4" t="str">
        <f>aws_spend_top_services[[#Headers],[Jun]]</f>
        <v>Jun</v>
      </c>
      <c r="I1" s="4" t="str">
        <f>aws_spend_top_services[[#Headers],[Jul]]</f>
        <v>Jul</v>
      </c>
      <c r="J1" s="4" t="str">
        <f>aws_spend_top_services[[#Headers],[Aug]]</f>
        <v>Aug</v>
      </c>
      <c r="K1" s="4" t="str">
        <f>aws_spend_top_services[[#Headers],[Sep]]</f>
        <v>Sep</v>
      </c>
      <c r="L1" s="4" t="str">
        <f>aws_spend_top_services[[#Headers],[Oct]]</f>
        <v>Oct</v>
      </c>
      <c r="M1" s="4" t="str">
        <f>aws_spend_top_services[[#Headers],[Nov]]</f>
        <v>Nov</v>
      </c>
      <c r="N1" s="4" t="s">
        <v>2</v>
      </c>
      <c r="O1" s="11" t="s">
        <v>26</v>
      </c>
      <c r="Q1" s="14" t="s">
        <v>29</v>
      </c>
      <c r="R1" s="14" t="s">
        <v>27</v>
      </c>
    </row>
    <row r="2" spans="1:18" ht="18.75" x14ac:dyDescent="0.3">
      <c r="A2" s="1" t="str">
        <f>aws_spend_top_services[[#This Row],[Month]]</f>
        <v>Amazon EC2 (Hosted Servers)</v>
      </c>
      <c r="B2" s="50">
        <f>aws_spend_top_services[[#This Row],[Dec]]</f>
        <v>37270.080000000002</v>
      </c>
      <c r="C2" s="50">
        <f>aws_spend_top_services[[#This Row],[Jan]]</f>
        <v>38523.4</v>
      </c>
      <c r="D2" s="50">
        <f>aws_spend_top_services[[#This Row],[Feb]]</f>
        <v>36726.75</v>
      </c>
      <c r="E2" s="50">
        <f>aws_spend_top_services[[#This Row],[Mar]]</f>
        <v>39950.519999999997</v>
      </c>
      <c r="F2" s="50">
        <f>aws_spend_top_services[[#This Row],[Apr]]</f>
        <v>30540.17</v>
      </c>
      <c r="G2" s="50">
        <f>aws_spend_top_services[[#This Row],[May]]</f>
        <v>28609.439999999999</v>
      </c>
      <c r="H2" s="50">
        <f>aws_spend_top_services[[#This Row],[Jun]]</f>
        <v>28518.25</v>
      </c>
      <c r="I2" s="50">
        <f>aws_spend_top_services[[#This Row],[Jul]]</f>
        <v>29366.86</v>
      </c>
      <c r="J2" s="50">
        <f>aws_spend_top_services[[#This Row],[Aug]]</f>
        <v>28373.09</v>
      </c>
      <c r="K2" s="50">
        <f>aws_spend_top_services[[#This Row],[Sep]]</f>
        <v>27369.18</v>
      </c>
      <c r="L2" s="50">
        <f>aws_spend_top_services[[#This Row],[Oct]]</f>
        <v>24408.639999999999</v>
      </c>
      <c r="M2" s="50">
        <f>aws_spend_top_services[[#This Row],[Nov]]</f>
        <v>18619.03</v>
      </c>
      <c r="N2" s="9" cm="1">
        <f t="array" aca="1" ref="N2" ca="1">ABS(OFFSET(INDIRECT(ADDRESS(ROW(), COLUMN())),0,-1)-OFFSET(INDIRECT(ADDRESS(ROW(), COLUMN())),0,-2))</f>
        <v>5789.6100000000006</v>
      </c>
      <c r="O2" s="12" cm="1">
        <f t="array" aca="1" ref="O2" ca="1">N2/OFFSET(INDIRECT(ADDRESS(ROW(), COLUMN())),0,-3)</f>
        <v>0.23719510796177096</v>
      </c>
      <c r="Q2" s="6">
        <v>123998.33</v>
      </c>
      <c r="R2" s="7">
        <v>2029798.69</v>
      </c>
    </row>
    <row r="3" spans="1:18" ht="18.75" x14ac:dyDescent="0.3">
      <c r="A3" s="1" t="str">
        <f>aws_spend_top_services[[#This Row],[Month]]</f>
        <v>Amazon FSx (File Sharing for TCA)</v>
      </c>
      <c r="B3" s="50">
        <f>aws_spend_top_services[[#This Row],[Dec]]</f>
        <v>15533.47</v>
      </c>
      <c r="C3" s="50">
        <f>aws_spend_top_services[[#This Row],[Jan]]</f>
        <v>14213</v>
      </c>
      <c r="D3" s="50">
        <f>aws_spend_top_services[[#This Row],[Feb]]</f>
        <v>14189.13</v>
      </c>
      <c r="E3" s="50">
        <f>aws_spend_top_services[[#This Row],[Mar]]</f>
        <v>14290.04</v>
      </c>
      <c r="F3" s="50">
        <f>aws_spend_top_services[[#This Row],[Apr]]</f>
        <v>14447.74</v>
      </c>
      <c r="G3" s="50">
        <f>aws_spend_top_services[[#This Row],[May]]</f>
        <v>14572.88</v>
      </c>
      <c r="H3" s="50">
        <f>aws_spend_top_services[[#This Row],[Jun]]</f>
        <v>14560.09</v>
      </c>
      <c r="I3" s="50">
        <f>aws_spend_top_services[[#This Row],[Jul]]</f>
        <v>14635.48</v>
      </c>
      <c r="J3" s="50">
        <f>aws_spend_top_services[[#This Row],[Aug]]</f>
        <v>14779.64</v>
      </c>
      <c r="K3" s="50">
        <f>aws_spend_top_services[[#This Row],[Sep]]</f>
        <v>14845.32</v>
      </c>
      <c r="L3" s="50">
        <f>aws_spend_top_services[[#This Row],[Oct]]</f>
        <v>14890.58</v>
      </c>
      <c r="M3" s="50">
        <f>aws_spend_top_services[[#This Row],[Nov]]</f>
        <v>14977.25</v>
      </c>
      <c r="N3" s="9" cm="1">
        <f t="array" aca="1" ref="N3" ca="1">ABS(OFFSET(INDIRECT(ADDRESS(ROW(), COLUMN())),0,-1)-OFFSET(INDIRECT(ADDRESS(ROW(), COLUMN())),0,-2))</f>
        <v>86.670000000000073</v>
      </c>
      <c r="O3" s="12" cm="1">
        <f t="array" aca="1" ref="O3" ca="1">N3/OFFSET(INDIRECT(ADDRESS(ROW(), COLUMN())),0,-3)</f>
        <v>5.8204583031688543E-3</v>
      </c>
    </row>
    <row r="4" spans="1:18" ht="18.75" x14ac:dyDescent="0.3">
      <c r="A4" s="1" t="str">
        <f>aws_spend_top_services[[#This Row],[Month]]</f>
        <v>AWS Support (Enterprise)</v>
      </c>
      <c r="B4" s="50">
        <f>aws_spend_top_services[[#This Row],[Dec]]</f>
        <v>0</v>
      </c>
      <c r="C4" s="50">
        <f>aws_spend_top_services[[#This Row],[Jan]]</f>
        <v>19198.2</v>
      </c>
      <c r="D4" s="50">
        <f>aws_spend_top_services[[#This Row],[Feb]]</f>
        <v>18090.05</v>
      </c>
      <c r="E4" s="50">
        <f>aws_spend_top_services[[#This Row],[Mar]]</f>
        <v>18180.91</v>
      </c>
      <c r="F4" s="50">
        <f>aws_spend_top_services[[#This Row],[Apr]]</f>
        <v>12712.53</v>
      </c>
      <c r="G4" s="50">
        <f>aws_spend_top_services[[#This Row],[May]]</f>
        <v>11405.18</v>
      </c>
      <c r="H4" s="50">
        <f>aws_spend_top_services[[#This Row],[Jun]]</f>
        <v>11247.32</v>
      </c>
      <c r="I4" s="50">
        <f>aws_spend_top_services[[#This Row],[Jul]]</f>
        <v>11417.78</v>
      </c>
      <c r="J4" s="50">
        <f>aws_spend_top_services[[#This Row],[Aug]]</f>
        <v>11427.17</v>
      </c>
      <c r="K4" s="50">
        <f>aws_spend_top_services[[#This Row],[Sep]]</f>
        <v>11301.19</v>
      </c>
      <c r="L4" s="50">
        <f>aws_spend_top_services[[#This Row],[Oct]]</f>
        <v>11592.77</v>
      </c>
      <c r="M4" s="50">
        <f>aws_spend_top_services[[#This Row],[Nov]]</f>
        <v>10951.83</v>
      </c>
      <c r="N4" s="9" cm="1">
        <f t="array" aca="1" ref="N4" ca="1">ABS(OFFSET(INDIRECT(ADDRESS(ROW(), COLUMN())),0,-1)-OFFSET(INDIRECT(ADDRESS(ROW(), COLUMN())),0,-2))</f>
        <v>640.94000000000051</v>
      </c>
      <c r="O4" s="12" cm="1">
        <f t="array" aca="1" ref="O4" ca="1">N4/OFFSET(INDIRECT(ADDRESS(ROW(), COLUMN())),0,-3)</f>
        <v>5.528790789431693E-2</v>
      </c>
    </row>
    <row r="5" spans="1:18" ht="18.75" x14ac:dyDescent="0.3">
      <c r="A5" s="1" t="str">
        <f>aws_spend_top_services[[#This Row],[Month]]</f>
        <v>AWS Network Firewall (Security)</v>
      </c>
      <c r="B5" s="50">
        <f>aws_spend_top_services[[#This Row],[Dec]]</f>
        <v>13503.21</v>
      </c>
      <c r="C5" s="50">
        <f>aws_spend_top_services[[#This Row],[Jan]]</f>
        <v>12466.45</v>
      </c>
      <c r="D5" s="50">
        <f>aws_spend_top_services[[#This Row],[Feb]]</f>
        <v>10971.94</v>
      </c>
      <c r="E5" s="50">
        <f>aws_spend_top_services[[#This Row],[Mar]]</f>
        <v>12132.61</v>
      </c>
      <c r="F5" s="50">
        <f>aws_spend_top_services[[#This Row],[Apr]]</f>
        <v>11839.03</v>
      </c>
      <c r="G5" s="50">
        <f>aws_spend_top_services[[#This Row],[May]]</f>
        <v>12145.88</v>
      </c>
      <c r="H5" s="50">
        <f>aws_spend_top_services[[#This Row],[Jun]]</f>
        <v>11712.29</v>
      </c>
      <c r="I5" s="50">
        <f>aws_spend_top_services[[#This Row],[Jul]]</f>
        <v>11282.12</v>
      </c>
      <c r="J5" s="50">
        <f>aws_spend_top_services[[#This Row],[Aug]]</f>
        <v>10648.25</v>
      </c>
      <c r="K5" s="50">
        <f>aws_spend_top_services[[#This Row],[Sep]]</f>
        <v>10313.76</v>
      </c>
      <c r="L5" s="50">
        <f>aws_spend_top_services[[#This Row],[Oct]]</f>
        <v>10541.13</v>
      </c>
      <c r="M5" s="50">
        <f>aws_spend_top_services[[#This Row],[Nov]]</f>
        <v>10645.95</v>
      </c>
      <c r="N5" s="9" cm="1">
        <f t="array" aca="1" ref="N5" ca="1">ABS(OFFSET(INDIRECT(ADDRESS(ROW(), COLUMN())),0,-1)-OFFSET(INDIRECT(ADDRESS(ROW(), COLUMN())),0,-2))</f>
        <v>104.82000000000153</v>
      </c>
      <c r="O5" s="12" cm="1">
        <f t="array" aca="1" ref="O5" ca="1">N5/OFFSET(INDIRECT(ADDRESS(ROW(), COLUMN())),0,-3)</f>
        <v>9.9439054446725864E-3</v>
      </c>
    </row>
    <row r="6" spans="1:18" ht="18.75" x14ac:dyDescent="0.3">
      <c r="A6" s="1" t="str">
        <f>aws_spend_top_services[[#This Row],[Month]]</f>
        <v>Amazon Redshift</v>
      </c>
      <c r="B6" s="50">
        <f>aws_spend_top_services[[#This Row],[Dec]]</f>
        <v>4203.84</v>
      </c>
      <c r="C6" s="50">
        <f>aws_spend_top_services[[#This Row],[Jan]]</f>
        <v>4455.47</v>
      </c>
      <c r="D6" s="50">
        <f>aws_spend_top_services[[#This Row],[Feb]]</f>
        <v>5681.63</v>
      </c>
      <c r="E6" s="50">
        <f>aws_spend_top_services[[#This Row],[Mar]]</f>
        <v>5847.08</v>
      </c>
      <c r="F6" s="50">
        <f>aws_spend_top_services[[#This Row],[Apr]]</f>
        <v>5847.64</v>
      </c>
      <c r="G6" s="50">
        <f>aws_spend_top_services[[#This Row],[May]]</f>
        <v>6044.02</v>
      </c>
      <c r="H6" s="50">
        <f>aws_spend_top_services[[#This Row],[Jun]]</f>
        <v>5936.9</v>
      </c>
      <c r="I6" s="50">
        <f>aws_spend_top_services[[#This Row],[Jul]]</f>
        <v>6306.8</v>
      </c>
      <c r="J6" s="50">
        <f>aws_spend_top_services[[#This Row],[Aug]]</f>
        <v>6329.23</v>
      </c>
      <c r="K6" s="50">
        <f>aws_spend_top_services[[#This Row],[Sep]]</f>
        <v>7022.81</v>
      </c>
      <c r="L6" s="50">
        <f>aws_spend_top_services[[#This Row],[Oct]]</f>
        <v>10372.14</v>
      </c>
      <c r="M6" s="50">
        <f>aws_spend_top_services[[#This Row],[Nov]]</f>
        <v>10550.68</v>
      </c>
      <c r="N6" s="9" cm="1">
        <f t="array" aca="1" ref="N6" ca="1">ABS(OFFSET(INDIRECT(ADDRESS(ROW(), COLUMN())),0,-1)-OFFSET(INDIRECT(ADDRESS(ROW(), COLUMN())),0,-2))</f>
        <v>178.54000000000087</v>
      </c>
      <c r="O6" s="12" cm="1">
        <f t="array" aca="1" ref="O6" ca="1">N6/OFFSET(INDIRECT(ADDRESS(ROW(), COLUMN())),0,-3)</f>
        <v>1.7213419795722086E-2</v>
      </c>
    </row>
    <row r="7" spans="1:18" ht="18.75" x14ac:dyDescent="0.3">
      <c r="A7" s="1" t="str">
        <f>aws_spend_top_services[[#This Row],[Month]]</f>
        <v>Amazon RDS (Database)</v>
      </c>
      <c r="B7" s="50">
        <f>aws_spend_top_services[[#This Row],[Dec]]</f>
        <v>36177.69</v>
      </c>
      <c r="C7" s="50">
        <f>aws_spend_top_services[[#This Row],[Jan]]</f>
        <v>28939.16</v>
      </c>
      <c r="D7" s="50">
        <f>aws_spend_top_services[[#This Row],[Feb]]</f>
        <v>27367.54</v>
      </c>
      <c r="E7" s="50">
        <f>aws_spend_top_services[[#This Row],[Mar]]</f>
        <v>30407.66</v>
      </c>
      <c r="F7" s="50">
        <f>aws_spend_top_services[[#This Row],[Apr]]</f>
        <v>14716.14</v>
      </c>
      <c r="G7" s="50">
        <f>aws_spend_top_services[[#This Row],[May]]</f>
        <v>10560</v>
      </c>
      <c r="H7" s="50">
        <f>aws_spend_top_services[[#This Row],[Jun]]</f>
        <v>10281.57</v>
      </c>
      <c r="I7" s="50">
        <f>aws_spend_top_services[[#This Row],[Jul]]</f>
        <v>10666.12</v>
      </c>
      <c r="J7" s="50">
        <f>aws_spend_top_services[[#This Row],[Aug]]</f>
        <v>11685.39</v>
      </c>
      <c r="K7" s="50">
        <f>aws_spend_top_services[[#This Row],[Sep]]</f>
        <v>11673.91</v>
      </c>
      <c r="L7" s="50">
        <f>aws_spend_top_services[[#This Row],[Oct]]</f>
        <v>11351.46</v>
      </c>
      <c r="M7" s="50">
        <f>aws_spend_top_services[[#This Row],[Nov]]</f>
        <v>10400.299999999999</v>
      </c>
      <c r="N7" s="9" cm="1">
        <f t="array" aca="1" ref="N7" ca="1">ABS(OFFSET(INDIRECT(ADDRESS(ROW(), COLUMN())),0,-1)-OFFSET(INDIRECT(ADDRESS(ROW(), COLUMN())),0,-2))</f>
        <v>951.15999999999985</v>
      </c>
      <c r="O7" s="12" cm="1">
        <f t="array" aca="1" ref="O7" ca="1">N7/OFFSET(INDIRECT(ADDRESS(ROW(), COLUMN())),0,-3)</f>
        <v>8.3791864658819215E-2</v>
      </c>
    </row>
    <row r="8" spans="1:18" ht="18.75" x14ac:dyDescent="0.3">
      <c r="A8" s="1" t="str">
        <f>aws_spend_top_services[[#This Row],[Month]]</f>
        <v>AWS Glue</v>
      </c>
      <c r="B8" s="50">
        <f>aws_spend_top_services[[#This Row],[Dec]]</f>
        <v>7204.44</v>
      </c>
      <c r="C8" s="50">
        <f>aws_spend_top_services[[#This Row],[Jan]]</f>
        <v>6417.14</v>
      </c>
      <c r="D8" s="50">
        <f>aws_spend_top_services[[#This Row],[Feb]]</f>
        <v>6982.62</v>
      </c>
      <c r="E8" s="50">
        <f>aws_spend_top_services[[#This Row],[Mar]]</f>
        <v>7296.92</v>
      </c>
      <c r="F8" s="50">
        <f>aws_spend_top_services[[#This Row],[Apr]]</f>
        <v>5628.92</v>
      </c>
      <c r="G8" s="50">
        <f>aws_spend_top_services[[#This Row],[May]]</f>
        <v>5857.62</v>
      </c>
      <c r="H8" s="50">
        <f>aws_spend_top_services[[#This Row],[Jun]]</f>
        <v>6479.59</v>
      </c>
      <c r="I8" s="50">
        <f>aws_spend_top_services[[#This Row],[Jul]]</f>
        <v>6072.37</v>
      </c>
      <c r="J8" s="50">
        <f>aws_spend_top_services[[#This Row],[Aug]]</f>
        <v>7058.86</v>
      </c>
      <c r="K8" s="50">
        <f>aws_spend_top_services[[#This Row],[Sep]]</f>
        <v>6665.81</v>
      </c>
      <c r="L8" s="50">
        <f>aws_spend_top_services[[#This Row],[Oct]]</f>
        <v>7569.25</v>
      </c>
      <c r="M8" s="50">
        <f>aws_spend_top_services[[#This Row],[Nov]]</f>
        <v>6771.36</v>
      </c>
      <c r="N8" s="9" cm="1">
        <f t="array" aca="1" ref="N8" ca="1">ABS(OFFSET(INDIRECT(ADDRESS(ROW(), COLUMN())),0,-1)-OFFSET(INDIRECT(ADDRESS(ROW(), COLUMN())),0,-2))</f>
        <v>797.89000000000033</v>
      </c>
      <c r="O8" s="12" cm="1">
        <f t="array" aca="1" ref="O8" ca="1">N8/OFFSET(INDIRECT(ADDRESS(ROW(), COLUMN())),0,-3)</f>
        <v>0.10541202893285337</v>
      </c>
    </row>
    <row r="9" spans="1:18" ht="18.75" x14ac:dyDescent="0.3">
      <c r="A9" s="1" t="str">
        <f>aws_spend_top_services[[#This Row],[Month]]</f>
        <v>Amazon VPC (Networking)</v>
      </c>
      <c r="B9" s="50">
        <f>aws_spend_top_services[[#This Row],[Dec]]</f>
        <v>10668.5</v>
      </c>
      <c r="C9" s="50">
        <f>aws_spend_top_services[[#This Row],[Jan]]</f>
        <v>9678.14</v>
      </c>
      <c r="D9" s="50">
        <f>aws_spend_top_services[[#This Row],[Feb]]</f>
        <v>8725.09</v>
      </c>
      <c r="E9" s="50">
        <f>aws_spend_top_services[[#This Row],[Mar]]</f>
        <v>9780.5400000000009</v>
      </c>
      <c r="F9" s="50">
        <f>aws_spend_top_services[[#This Row],[Apr]]</f>
        <v>7767.79</v>
      </c>
      <c r="G9" s="50">
        <f>aws_spend_top_services[[#This Row],[May]]</f>
        <v>7369.94</v>
      </c>
      <c r="H9" s="50">
        <f>aws_spend_top_services[[#This Row],[Jun]]</f>
        <v>7062.6</v>
      </c>
      <c r="I9" s="50">
        <f>aws_spend_top_services[[#This Row],[Jul]]</f>
        <v>7046.61</v>
      </c>
      <c r="J9" s="50">
        <f>aws_spend_top_services[[#This Row],[Aug]]</f>
        <v>6462.86</v>
      </c>
      <c r="K9" s="50">
        <f>aws_spend_top_services[[#This Row],[Sep]]</f>
        <v>6195.95</v>
      </c>
      <c r="L9" s="50">
        <f>aws_spend_top_services[[#This Row],[Oct]]</f>
        <v>6361.38</v>
      </c>
      <c r="M9" s="50">
        <f>aws_spend_top_services[[#This Row],[Nov]]</f>
        <v>6076.62</v>
      </c>
      <c r="N9" s="9" cm="1">
        <f t="array" aca="1" ref="N9" ca="1">ABS(OFFSET(INDIRECT(ADDRESS(ROW(), COLUMN())),0,-1)-OFFSET(INDIRECT(ADDRESS(ROW(), COLUMN())),0,-2))</f>
        <v>284.76000000000022</v>
      </c>
      <c r="O9" s="12" cm="1">
        <f t="array" aca="1" ref="O9" ca="1">N9/OFFSET(INDIRECT(ADDRESS(ROW(), COLUMN())),0,-3)</f>
        <v>4.4763871990039929E-2</v>
      </c>
    </row>
    <row r="10" spans="1:18" ht="18.75" x14ac:dyDescent="0.3">
      <c r="A10" s="1" t="str">
        <f>aws_spend_top_services[[#This Row],[Month]]</f>
        <v>AWS Cloud WAN</v>
      </c>
      <c r="B10" s="50">
        <f>aws_spend_top_services[[#This Row],[Dec]]</f>
        <v>6782.61</v>
      </c>
      <c r="C10" s="50">
        <f>aws_spend_top_services[[#This Row],[Jan]]</f>
        <v>6268.08</v>
      </c>
      <c r="D10" s="50">
        <f>aws_spend_top_services[[#This Row],[Feb]]</f>
        <v>5790.21</v>
      </c>
      <c r="E10" s="50">
        <f>aws_spend_top_services[[#This Row],[Mar]]</f>
        <v>6450.86</v>
      </c>
      <c r="F10" s="50">
        <f>aws_spend_top_services[[#This Row],[Apr]]</f>
        <v>6226.52</v>
      </c>
      <c r="G10" s="50">
        <f>aws_spend_top_services[[#This Row],[May]]</f>
        <v>6372.73</v>
      </c>
      <c r="H10" s="50">
        <f>aws_spend_top_services[[#This Row],[Jun]]</f>
        <v>6123.1</v>
      </c>
      <c r="I10" s="50">
        <f>aws_spend_top_services[[#This Row],[Jul]]</f>
        <v>5821.82</v>
      </c>
      <c r="J10" s="50">
        <f>aws_spend_top_services[[#This Row],[Aug]]</f>
        <v>5431.6</v>
      </c>
      <c r="K10" s="50">
        <f>aws_spend_top_services[[#This Row],[Sep]]</f>
        <v>5295.76</v>
      </c>
      <c r="L10" s="50">
        <f>aws_spend_top_services[[#This Row],[Oct]]</f>
        <v>5588.04</v>
      </c>
      <c r="M10" s="50">
        <f>aws_spend_top_services[[#This Row],[Nov]]</f>
        <v>5880.56</v>
      </c>
      <c r="N10" s="9" cm="1">
        <f t="array" aca="1" ref="N10" ca="1">ABS(OFFSET(INDIRECT(ADDRESS(ROW(), COLUMN())),0,-1)-OFFSET(INDIRECT(ADDRESS(ROW(), COLUMN())),0,-2))</f>
        <v>292.52000000000044</v>
      </c>
      <c r="O10" s="12" cm="1">
        <f t="array" aca="1" ref="O10" ca="1">N10/OFFSET(INDIRECT(ADDRESS(ROW(), COLUMN())),0,-3)</f>
        <v>5.2347513618370742E-2</v>
      </c>
    </row>
    <row r="11" spans="1:18" ht="18.75" x14ac:dyDescent="0.3">
      <c r="A11" s="1" t="str">
        <f>aws_spend_top_services[[#This Row],[Month]]</f>
        <v>Amazon OpenSearch Service (Security)</v>
      </c>
      <c r="B11" s="50">
        <f>aws_spend_top_services[[#This Row],[Dec]]</f>
        <v>11624.73</v>
      </c>
      <c r="C11" s="50">
        <f>aws_spend_top_services[[#This Row],[Jan]]</f>
        <v>10921.96</v>
      </c>
      <c r="D11" s="50">
        <f>aws_spend_top_services[[#This Row],[Feb]]</f>
        <v>10948.2</v>
      </c>
      <c r="E11" s="50">
        <f>aws_spend_top_services[[#This Row],[Mar]]</f>
        <v>12076.46</v>
      </c>
      <c r="F11" s="50">
        <f>aws_spend_top_services[[#This Row],[Apr]]</f>
        <v>6814.42</v>
      </c>
      <c r="G11" s="50">
        <f>aws_spend_top_services[[#This Row],[May]]</f>
        <v>5276.5</v>
      </c>
      <c r="H11" s="50">
        <f>aws_spend_top_services[[#This Row],[Jun]]</f>
        <v>5191.57</v>
      </c>
      <c r="I11" s="50">
        <f>aws_spend_top_services[[#This Row],[Jul]]</f>
        <v>5276.56</v>
      </c>
      <c r="J11" s="50">
        <f>aws_spend_top_services[[#This Row],[Aug]]</f>
        <v>5276.59</v>
      </c>
      <c r="K11" s="50">
        <f>aws_spend_top_services[[#This Row],[Sep]]</f>
        <v>5191.84</v>
      </c>
      <c r="L11" s="50">
        <f>aws_spend_top_services[[#This Row],[Oct]]</f>
        <v>5269.48</v>
      </c>
      <c r="M11" s="50">
        <f>aws_spend_top_services[[#This Row],[Nov]]</f>
        <v>5506.4</v>
      </c>
      <c r="N11" s="9" cm="1">
        <f t="array" aca="1" ref="N11" ca="1">ABS(OFFSET(INDIRECT(ADDRESS(ROW(), COLUMN())),0,-1)-OFFSET(INDIRECT(ADDRESS(ROW(), COLUMN())),0,-2))</f>
        <v>236.92000000000007</v>
      </c>
      <c r="O11" s="12" cm="1">
        <f t="array" aca="1" ref="O11" ca="1">N11/OFFSET(INDIRECT(ADDRESS(ROW(), COLUMN())),0,-3)</f>
        <v>4.4960793095333899E-2</v>
      </c>
    </row>
    <row r="12" spans="1:18" x14ac:dyDescent="0.25">
      <c r="G12" s="40"/>
      <c r="H12" s="41"/>
    </row>
    <row r="13" spans="1:18" ht="18.75" x14ac:dyDescent="0.3">
      <c r="A13" s="4" t="s">
        <v>0</v>
      </c>
      <c r="B13" s="4" t="str">
        <f ca="1">OFFSET(N1,0,-2)</f>
        <v>Oct</v>
      </c>
      <c r="C13" s="32" t="str">
        <f ca="1">OFFSET(N1,0,-1)</f>
        <v>Nov</v>
      </c>
      <c r="D13" s="24" t="s">
        <v>2</v>
      </c>
      <c r="E13" s="43" t="s">
        <v>26</v>
      </c>
      <c r="F13" s="25" t="s">
        <v>28</v>
      </c>
      <c r="G13" s="24" t="s">
        <v>53</v>
      </c>
      <c r="H13" s="25" t="s">
        <v>46</v>
      </c>
    </row>
    <row r="14" spans="1:18" ht="18.75" x14ac:dyDescent="0.3">
      <c r="A14" s="1" t="str">
        <f>A2</f>
        <v>Amazon EC2 (Hosted Servers)</v>
      </c>
      <c r="B14" s="47">
        <f ca="1">OFFSET($N2,0,-2)</f>
        <v>24408.639999999999</v>
      </c>
      <c r="C14" s="47">
        <f ca="1">OFFSET($N2,0,-1)</f>
        <v>18619.03</v>
      </c>
      <c r="D14" s="9" cm="1">
        <f t="array" aca="1" ref="D14" ca="1">ABS(OFFSET(INDIRECT(ADDRESS(ROW(), COLUMN())),0,-1)-OFFSET(INDIRECT(ADDRESS(ROW(), COLUMN())),0,-2))</f>
        <v>5789.6100000000006</v>
      </c>
      <c r="E14" s="12" cm="1">
        <f t="array" aca="1" ref="E14" ca="1">D14/OFFSET(INDIRECT(ADDRESS(ROW(), COLUMN())),0,-3)</f>
        <v>0.23719510796177096</v>
      </c>
      <c r="F14" s="33">
        <f ca="1">C14/$Q$2</f>
        <v>0.15015548999732495</v>
      </c>
      <c r="G14" s="27">
        <f>SUM(B2:M2)</f>
        <v>368275.41000000003</v>
      </c>
      <c r="H14" s="22">
        <f t="shared" ref="H14:H23" si="0">G14/$R$2</f>
        <v>0.18143445052671703</v>
      </c>
    </row>
    <row r="15" spans="1:18" ht="18.75" x14ac:dyDescent="0.3">
      <c r="A15" s="1" t="str">
        <f t="shared" ref="A15:A23" si="1">A3</f>
        <v>Amazon FSx (File Sharing for TCA)</v>
      </c>
      <c r="B15" s="47">
        <f t="shared" ref="B15:B23" ca="1" si="2">OFFSET($N3,0,-2)</f>
        <v>14890.58</v>
      </c>
      <c r="C15" s="47">
        <f t="shared" ref="C15:C23" ca="1" si="3">OFFSET($N3,0,-1)</f>
        <v>14977.25</v>
      </c>
      <c r="D15" s="9" cm="1">
        <f t="array" aca="1" ref="D15" ca="1">ABS(OFFSET(INDIRECT(ADDRESS(ROW(), COLUMN())),0,-1)-OFFSET(INDIRECT(ADDRESS(ROW(), COLUMN())),0,-2))</f>
        <v>86.670000000000073</v>
      </c>
      <c r="E15" s="12" cm="1">
        <f t="array" aca="1" ref="E15" ca="1">D15/OFFSET(INDIRECT(ADDRESS(ROW(), COLUMN())),0,-3)</f>
        <v>5.8204583031688543E-3</v>
      </c>
      <c r="F15" s="33">
        <f t="shared" ref="F15:F23" ca="1" si="4">C15/$Q$2</f>
        <v>0.12078590090689124</v>
      </c>
      <c r="G15" s="27">
        <f t="shared" ref="G15:G22" si="5">SUM(B3:M3)</f>
        <v>175934.62</v>
      </c>
      <c r="H15" s="22">
        <f t="shared" si="0"/>
        <v>8.6675895923452387E-2</v>
      </c>
    </row>
    <row r="16" spans="1:18" ht="18.75" x14ac:dyDescent="0.3">
      <c r="A16" s="1" t="str">
        <f t="shared" si="1"/>
        <v>AWS Support (Enterprise)</v>
      </c>
      <c r="B16" s="47">
        <f t="shared" ca="1" si="2"/>
        <v>11592.77</v>
      </c>
      <c r="C16" s="47">
        <f t="shared" ca="1" si="3"/>
        <v>10951.83</v>
      </c>
      <c r="D16" s="9" cm="1">
        <f t="array" aca="1" ref="D16" ca="1">ABS(OFFSET(INDIRECT(ADDRESS(ROW(), COLUMN())),0,-1)-OFFSET(INDIRECT(ADDRESS(ROW(), COLUMN())),0,-2))</f>
        <v>640.94000000000051</v>
      </c>
      <c r="E16" s="12" cm="1">
        <f t="array" aca="1" ref="E16" ca="1">D16/OFFSET(INDIRECT(ADDRESS(ROW(), COLUMN())),0,-3)</f>
        <v>5.528790789431693E-2</v>
      </c>
      <c r="F16" s="33">
        <f t="shared" ca="1" si="4"/>
        <v>8.8322399180698646E-2</v>
      </c>
      <c r="G16" s="27">
        <f t="shared" si="5"/>
        <v>147524.93</v>
      </c>
      <c r="H16" s="22">
        <f t="shared" si="0"/>
        <v>7.2679586762370019E-2</v>
      </c>
    </row>
    <row r="17" spans="1:8" ht="18.75" x14ac:dyDescent="0.3">
      <c r="A17" s="1" t="str">
        <f t="shared" si="1"/>
        <v>AWS Network Firewall (Security)</v>
      </c>
      <c r="B17" s="47">
        <f t="shared" ca="1" si="2"/>
        <v>10541.13</v>
      </c>
      <c r="C17" s="47">
        <f t="shared" ca="1" si="3"/>
        <v>10645.95</v>
      </c>
      <c r="D17" s="9" cm="1">
        <f t="array" aca="1" ref="D17" ca="1">ABS(OFFSET(INDIRECT(ADDRESS(ROW(), COLUMN())),0,-1)-OFFSET(INDIRECT(ADDRESS(ROW(), COLUMN())),0,-2))</f>
        <v>104.82000000000153</v>
      </c>
      <c r="E17" s="12" cm="1">
        <f t="array" aca="1" ref="E17" ca="1">D17/OFFSET(INDIRECT(ADDRESS(ROW(), COLUMN())),0,-3)</f>
        <v>9.9439054446725864E-3</v>
      </c>
      <c r="F17" s="33">
        <f t="shared" ca="1" si="4"/>
        <v>8.5855591764824574E-2</v>
      </c>
      <c r="G17" s="27">
        <f t="shared" si="5"/>
        <v>138202.62</v>
      </c>
      <c r="H17" s="22">
        <f t="shared" si="0"/>
        <v>6.8086860377272185E-2</v>
      </c>
    </row>
    <row r="18" spans="1:8" ht="18.75" x14ac:dyDescent="0.3">
      <c r="A18" s="1" t="str">
        <f t="shared" si="1"/>
        <v>Amazon Redshift</v>
      </c>
      <c r="B18" s="47">
        <f t="shared" ca="1" si="2"/>
        <v>10372.14</v>
      </c>
      <c r="C18" s="47">
        <f t="shared" ca="1" si="3"/>
        <v>10550.68</v>
      </c>
      <c r="D18" s="9" cm="1">
        <f t="array" aca="1" ref="D18" ca="1">ABS(OFFSET(INDIRECT(ADDRESS(ROW(), COLUMN())),0,-1)-OFFSET(INDIRECT(ADDRESS(ROW(), COLUMN())),0,-2))</f>
        <v>178.54000000000087</v>
      </c>
      <c r="E18" s="12" cm="1">
        <f t="array" aca="1" ref="E18" ca="1">D18/OFFSET(INDIRECT(ADDRESS(ROW(), COLUMN())),0,-3)</f>
        <v>1.7213419795722086E-2</v>
      </c>
      <c r="F18" s="33">
        <f t="shared" ca="1" si="4"/>
        <v>8.5087274965719301E-2</v>
      </c>
      <c r="G18" s="27">
        <f t="shared" si="5"/>
        <v>78598.239999999991</v>
      </c>
      <c r="H18" s="22">
        <f t="shared" si="0"/>
        <v>3.872218480937141E-2</v>
      </c>
    </row>
    <row r="19" spans="1:8" ht="18.75" x14ac:dyDescent="0.3">
      <c r="A19" s="1" t="str">
        <f t="shared" si="1"/>
        <v>Amazon RDS (Database)</v>
      </c>
      <c r="B19" s="47">
        <f t="shared" ca="1" si="2"/>
        <v>11351.46</v>
      </c>
      <c r="C19" s="47">
        <f t="shared" ca="1" si="3"/>
        <v>10400.299999999999</v>
      </c>
      <c r="D19" s="9" cm="1">
        <f t="array" aca="1" ref="D19" ca="1">ABS(OFFSET(INDIRECT(ADDRESS(ROW(), COLUMN())),0,-1)-OFFSET(INDIRECT(ADDRESS(ROW(), COLUMN())),0,-2))</f>
        <v>951.15999999999985</v>
      </c>
      <c r="E19" s="12" cm="1">
        <f t="array" aca="1" ref="E19" ca="1">D19/OFFSET(INDIRECT(ADDRESS(ROW(), COLUMN())),0,-3)</f>
        <v>8.3791864658819215E-2</v>
      </c>
      <c r="F19" s="33">
        <f t="shared" ca="1" si="4"/>
        <v>8.3874516697120025E-2</v>
      </c>
      <c r="G19" s="27">
        <f t="shared" si="5"/>
        <v>214226.94</v>
      </c>
      <c r="H19" s="22">
        <f t="shared" si="0"/>
        <v>0.10554097854896143</v>
      </c>
    </row>
    <row r="20" spans="1:8" ht="18.75" x14ac:dyDescent="0.3">
      <c r="A20" s="1" t="str">
        <f t="shared" si="1"/>
        <v>AWS Glue</v>
      </c>
      <c r="B20" s="47">
        <f t="shared" ca="1" si="2"/>
        <v>7569.25</v>
      </c>
      <c r="C20" s="47">
        <f t="shared" ca="1" si="3"/>
        <v>6771.36</v>
      </c>
      <c r="D20" s="9" cm="1">
        <f t="array" aca="1" ref="D20" ca="1">ABS(OFFSET(INDIRECT(ADDRESS(ROW(), COLUMN())),0,-1)-OFFSET(INDIRECT(ADDRESS(ROW(), COLUMN())),0,-2))</f>
        <v>797.89000000000033</v>
      </c>
      <c r="E20" s="12" cm="1">
        <f t="array" aca="1" ref="E20" ca="1">D20/OFFSET(INDIRECT(ADDRESS(ROW(), COLUMN())),0,-3)</f>
        <v>0.10541202893285337</v>
      </c>
      <c r="F20" s="33">
        <f t="shared" ca="1" si="4"/>
        <v>5.4608477388364822E-2</v>
      </c>
      <c r="G20" s="27">
        <f t="shared" si="5"/>
        <v>80004.900000000009</v>
      </c>
      <c r="H20" s="22">
        <f t="shared" si="0"/>
        <v>3.9415189493496032E-2</v>
      </c>
    </row>
    <row r="21" spans="1:8" ht="18.75" x14ac:dyDescent="0.3">
      <c r="A21" s="1" t="str">
        <f t="shared" si="1"/>
        <v>Amazon VPC (Networking)</v>
      </c>
      <c r="B21" s="47">
        <f t="shared" ca="1" si="2"/>
        <v>6361.38</v>
      </c>
      <c r="C21" s="47">
        <f t="shared" ca="1" si="3"/>
        <v>6076.62</v>
      </c>
      <c r="D21" s="9" cm="1">
        <f t="array" aca="1" ref="D21" ca="1">ABS(OFFSET(INDIRECT(ADDRESS(ROW(), COLUMN())),0,-1)-OFFSET(INDIRECT(ADDRESS(ROW(), COLUMN())),0,-2))</f>
        <v>284.76000000000022</v>
      </c>
      <c r="E21" s="12" cm="1">
        <f t="array" aca="1" ref="E21" ca="1">D21/OFFSET(INDIRECT(ADDRESS(ROW(), COLUMN())),0,-3)</f>
        <v>4.4763871990039929E-2</v>
      </c>
      <c r="F21" s="33">
        <f t="shared" ca="1" si="4"/>
        <v>4.90056599955822E-2</v>
      </c>
      <c r="G21" s="27">
        <f t="shared" si="5"/>
        <v>93196.02</v>
      </c>
      <c r="H21" s="22">
        <f t="shared" si="0"/>
        <v>4.59139226264847E-2</v>
      </c>
    </row>
    <row r="22" spans="1:8" ht="18.75" x14ac:dyDescent="0.3">
      <c r="A22" s="1" t="str">
        <f t="shared" si="1"/>
        <v>AWS Cloud WAN</v>
      </c>
      <c r="B22" s="47">
        <f t="shared" ca="1" si="2"/>
        <v>5588.04</v>
      </c>
      <c r="C22" s="47">
        <f t="shared" ca="1" si="3"/>
        <v>5880.56</v>
      </c>
      <c r="D22" s="9" cm="1">
        <f t="array" aca="1" ref="D22" ca="1">ABS(OFFSET(INDIRECT(ADDRESS(ROW(), COLUMN())),0,-1)-OFFSET(INDIRECT(ADDRESS(ROW(), COLUMN())),0,-2))</f>
        <v>292.52000000000044</v>
      </c>
      <c r="E22" s="12" cm="1">
        <f t="array" aca="1" ref="E22" ca="1">D22/OFFSET(INDIRECT(ADDRESS(ROW(), COLUMN())),0,-3)</f>
        <v>5.2347513618370742E-2</v>
      </c>
      <c r="F22" s="33">
        <f t="shared" ca="1" si="4"/>
        <v>4.7424509668799575E-2</v>
      </c>
      <c r="G22" s="27">
        <f t="shared" si="5"/>
        <v>72031.889999999985</v>
      </c>
      <c r="H22" s="22">
        <f t="shared" si="0"/>
        <v>3.548720883251727E-2</v>
      </c>
    </row>
    <row r="23" spans="1:8" ht="18.75" x14ac:dyDescent="0.3">
      <c r="A23" s="1" t="str">
        <f t="shared" si="1"/>
        <v>Amazon OpenSearch Service (Security)</v>
      </c>
      <c r="B23" s="47">
        <f t="shared" ca="1" si="2"/>
        <v>5269.48</v>
      </c>
      <c r="C23" s="47">
        <f t="shared" ca="1" si="3"/>
        <v>5506.4</v>
      </c>
      <c r="D23" s="9" cm="1">
        <f t="array" aca="1" ref="D23" ca="1">ABS(OFFSET(INDIRECT(ADDRESS(ROW(), COLUMN())),0,-1)-OFFSET(INDIRECT(ADDRESS(ROW(), COLUMN())),0,-2))</f>
        <v>236.92000000000007</v>
      </c>
      <c r="E23" s="12" cm="1">
        <f t="array" aca="1" ref="E23" ca="1">D23/OFFSET(INDIRECT(ADDRESS(ROW(), COLUMN())),0,-3)</f>
        <v>4.4960793095333899E-2</v>
      </c>
      <c r="F23" s="33">
        <f t="shared" ca="1" si="4"/>
        <v>4.4407049675588367E-2</v>
      </c>
      <c r="G23" s="27">
        <f t="shared" ref="G23" si="6">SUM(B11:L11)</f>
        <v>83868.309999999983</v>
      </c>
      <c r="H23" s="22">
        <f t="shared" si="0"/>
        <v>4.1318535879043251E-2</v>
      </c>
    </row>
    <row r="24" spans="1:8" ht="18.75" x14ac:dyDescent="0.3">
      <c r="A24" s="3" t="s">
        <v>19</v>
      </c>
      <c r="B24" s="6">
        <f ca="1">SUM(B14:B23)</f>
        <v>107944.87</v>
      </c>
      <c r="C24" s="6">
        <f ca="1">SUM(C14:C23)</f>
        <v>100379.97999999998</v>
      </c>
      <c r="D24" s="35">
        <f t="shared" ref="D24" ca="1" si="7">ABS(C24-B24)</f>
        <v>7564.890000000014</v>
      </c>
      <c r="E24" s="36">
        <f t="shared" ref="E24" ca="1" si="8">D24/B24</f>
        <v>7.0081051559004279E-2</v>
      </c>
      <c r="F24" s="37">
        <f ca="1">C24/$Q$2</f>
        <v>0.80952687024091352</v>
      </c>
      <c r="G24" s="38">
        <f>SUM(G14:G23)</f>
        <v>1451863.88</v>
      </c>
      <c r="H24" s="39">
        <f>G24/$R$2</f>
        <v>0.71527481377968571</v>
      </c>
    </row>
    <row r="26" spans="1:8" ht="18.75" x14ac:dyDescent="0.3">
      <c r="A26" s="4" t="s">
        <v>0</v>
      </c>
      <c r="B26" s="4" t="str">
        <f ca="1">OFFSET(N1,0,-2)</f>
        <v>Oct</v>
      </c>
      <c r="C26" s="4" t="str">
        <f ca="1">OFFSET(N1,0,-1)</f>
        <v>Nov</v>
      </c>
      <c r="D26" s="8" t="s">
        <v>2</v>
      </c>
      <c r="E26" s="18" t="s">
        <v>26</v>
      </c>
    </row>
    <row r="27" spans="1:8" ht="18.75" x14ac:dyDescent="0.3">
      <c r="A27" s="1" t="str">
        <f t="shared" ref="A27:A36" si="9">A14</f>
        <v>Amazon EC2 (Hosted Servers)</v>
      </c>
      <c r="B27" s="51">
        <f ca="1">OFFSET(N2,0,-2)/DAY(EOMONTH(DATE(YEAR(TODAY()),MONTH(DATEVALUE("1"&amp;$B$26)),1),0))</f>
        <v>787.37548387096774</v>
      </c>
      <c r="C27" s="51">
        <f ca="1">OFFSET(O2,0,-2)/DAY(EOMONTH(DATE(YEAR(TODAY()),MONTH(DATEVALUE("1"&amp;$C$26)),1),0))</f>
        <v>620.6343333333333</v>
      </c>
      <c r="D27" s="9">
        <f t="shared" ref="D27:D37" ca="1" si="10">ABS(C27-B27)</f>
        <v>166.74115053763444</v>
      </c>
      <c r="E27" s="12">
        <f t="shared" ref="E27:E37" ca="1" si="11">D27/B27</f>
        <v>0.21176827822716332</v>
      </c>
    </row>
    <row r="28" spans="1:8" ht="18.75" x14ac:dyDescent="0.3">
      <c r="A28" s="1" t="str">
        <f t="shared" si="9"/>
        <v>Amazon FSx (File Sharing for TCA)</v>
      </c>
      <c r="B28" s="51">
        <f t="shared" ref="B28:B36" ca="1" si="12">OFFSET(N3,0,-2)/DAY(EOMONTH(DATE(YEAR(TODAY()),MONTH(DATEVALUE("1"&amp;$B$26)),1),0))</f>
        <v>480.34129032258062</v>
      </c>
      <c r="C28" s="51">
        <f t="shared" ref="C28:C36" ca="1" si="13">OFFSET(O3,0,-2)/DAY(EOMONTH(DATE(YEAR(TODAY()),MONTH(DATEVALUE("1"&amp;$C$26)),1),0))</f>
        <v>499.24166666666667</v>
      </c>
      <c r="D28" s="9">
        <f t="shared" ca="1" si="10"/>
        <v>18.900376344086055</v>
      </c>
      <c r="E28" s="12">
        <f t="shared" ca="1" si="11"/>
        <v>3.9347806913274552E-2</v>
      </c>
    </row>
    <row r="29" spans="1:8" ht="18.75" x14ac:dyDescent="0.3">
      <c r="A29" s="1" t="str">
        <f t="shared" si="9"/>
        <v>AWS Support (Enterprise)</v>
      </c>
      <c r="B29" s="51">
        <f t="shared" ca="1" si="12"/>
        <v>373.9603225806452</v>
      </c>
      <c r="C29" s="51">
        <f t="shared" ca="1" si="13"/>
        <v>365.06099999999998</v>
      </c>
      <c r="D29" s="9">
        <f t="shared" ca="1" si="10"/>
        <v>8.8993225806452187</v>
      </c>
      <c r="E29" s="12">
        <f t="shared" ca="1" si="11"/>
        <v>2.3797504824127604E-2</v>
      </c>
    </row>
    <row r="30" spans="1:8" ht="18.75" x14ac:dyDescent="0.3">
      <c r="A30" s="1" t="str">
        <f t="shared" si="9"/>
        <v>AWS Network Firewall (Security)</v>
      </c>
      <c r="B30" s="51">
        <f t="shared" ca="1" si="12"/>
        <v>340.03645161290319</v>
      </c>
      <c r="C30" s="51">
        <f t="shared" ca="1" si="13"/>
        <v>354.86500000000001</v>
      </c>
      <c r="D30" s="9">
        <f t="shared" ca="1" si="10"/>
        <v>14.828548387096816</v>
      </c>
      <c r="E30" s="12">
        <f t="shared" ca="1" si="11"/>
        <v>4.3608702292828316E-2</v>
      </c>
    </row>
    <row r="31" spans="1:8" ht="18.75" x14ac:dyDescent="0.3">
      <c r="A31" s="1" t="str">
        <f t="shared" si="9"/>
        <v>Amazon Redshift</v>
      </c>
      <c r="B31" s="51">
        <f t="shared" ca="1" si="12"/>
        <v>334.58516129032256</v>
      </c>
      <c r="C31" s="51">
        <f t="shared" ca="1" si="13"/>
        <v>351.68933333333337</v>
      </c>
      <c r="D31" s="9">
        <f t="shared" ca="1" si="10"/>
        <v>17.104172043010806</v>
      </c>
      <c r="E31" s="12">
        <f t="shared" ca="1" si="11"/>
        <v>5.1120533788912896E-2</v>
      </c>
    </row>
    <row r="32" spans="1:8" ht="18.75" x14ac:dyDescent="0.3">
      <c r="A32" s="1" t="str">
        <f t="shared" si="9"/>
        <v>Amazon RDS (Database)</v>
      </c>
      <c r="B32" s="51">
        <f t="shared" ca="1" si="12"/>
        <v>366.17612903225802</v>
      </c>
      <c r="C32" s="51">
        <f t="shared" ca="1" si="13"/>
        <v>346.67666666666662</v>
      </c>
      <c r="D32" s="9">
        <f t="shared" ca="1" si="10"/>
        <v>19.499462365591398</v>
      </c>
      <c r="E32" s="12">
        <f t="shared" ca="1" si="11"/>
        <v>5.3251593480779867E-2</v>
      </c>
    </row>
    <row r="33" spans="1:5" ht="18.75" x14ac:dyDescent="0.3">
      <c r="A33" s="1" t="str">
        <f t="shared" si="9"/>
        <v>AWS Glue</v>
      </c>
      <c r="B33" s="51">
        <f t="shared" ca="1" si="12"/>
        <v>244.16935483870967</v>
      </c>
      <c r="C33" s="51">
        <f t="shared" ca="1" si="13"/>
        <v>225.71199999999999</v>
      </c>
      <c r="D33" s="9">
        <f t="shared" ca="1" si="10"/>
        <v>18.457354838709676</v>
      </c>
      <c r="E33" s="12">
        <f t="shared" ca="1" si="11"/>
        <v>7.5592429897281765E-2</v>
      </c>
    </row>
    <row r="34" spans="1:5" ht="18.75" x14ac:dyDescent="0.3">
      <c r="A34" s="1" t="str">
        <f t="shared" si="9"/>
        <v>Amazon VPC (Networking)</v>
      </c>
      <c r="B34" s="51">
        <f t="shared" ca="1" si="12"/>
        <v>205.20580645161291</v>
      </c>
      <c r="C34" s="51">
        <f t="shared" ca="1" si="13"/>
        <v>202.554</v>
      </c>
      <c r="D34" s="9">
        <f t="shared" ca="1" si="10"/>
        <v>2.651806451612913</v>
      </c>
      <c r="E34" s="12">
        <f t="shared" ca="1" si="11"/>
        <v>1.2922667723041273E-2</v>
      </c>
    </row>
    <row r="35" spans="1:5" ht="18.75" x14ac:dyDescent="0.3">
      <c r="A35" s="1" t="str">
        <f t="shared" si="9"/>
        <v>AWS Cloud WAN</v>
      </c>
      <c r="B35" s="51">
        <f t="shared" ca="1" si="12"/>
        <v>180.25935483870967</v>
      </c>
      <c r="C35" s="51">
        <f t="shared" ca="1" si="13"/>
        <v>196.01866666666669</v>
      </c>
      <c r="D35" s="9">
        <f t="shared" ca="1" si="10"/>
        <v>15.759311827957021</v>
      </c>
      <c r="E35" s="12">
        <f t="shared" ca="1" si="11"/>
        <v>8.7425764072316531E-2</v>
      </c>
    </row>
    <row r="36" spans="1:5" ht="18.75" x14ac:dyDescent="0.3">
      <c r="A36" s="1" t="str">
        <f t="shared" si="9"/>
        <v>Amazon OpenSearch Service (Security)</v>
      </c>
      <c r="B36" s="51">
        <f t="shared" ca="1" si="12"/>
        <v>169.9832258064516</v>
      </c>
      <c r="C36" s="51">
        <f t="shared" ca="1" si="13"/>
        <v>183.54666666666665</v>
      </c>
      <c r="D36" s="9">
        <f t="shared" ca="1" si="10"/>
        <v>13.563440860215053</v>
      </c>
      <c r="E36" s="12">
        <f t="shared" ca="1" si="11"/>
        <v>7.9792819531845013E-2</v>
      </c>
    </row>
    <row r="37" spans="1:5" ht="18.75" x14ac:dyDescent="0.3">
      <c r="A37" s="3" t="s">
        <v>19</v>
      </c>
      <c r="B37" s="30">
        <f ca="1">SUM(B27:B36)</f>
        <v>3482.0925806451614</v>
      </c>
      <c r="C37" s="31">
        <f ca="1">SUM(C27:C36)</f>
        <v>3345.9993333333337</v>
      </c>
      <c r="D37" s="28">
        <f t="shared" ca="1" si="10"/>
        <v>136.09324731182778</v>
      </c>
      <c r="E37" s="29">
        <f t="shared" ca="1" si="11"/>
        <v>3.9083753277637565E-2</v>
      </c>
    </row>
  </sheetData>
  <sortState xmlns:xlrd2="http://schemas.microsoft.com/office/spreadsheetml/2017/richdata2" ref="A14:O22">
    <sortCondition descending="1" ref="I14:I22"/>
  </sortState>
  <conditionalFormatting sqref="D14:D23">
    <cfRule type="expression" dxfId="21" priority="3">
      <formula>OFFSET(INDIRECT(ADDRESS(ROW(), COLUMN())),0,-1)&gt;OFFSET(INDIRECT(ADDRESS(ROW(), COLUMN())),0,-2)</formula>
    </cfRule>
    <cfRule type="expression" dxfId="20" priority="4">
      <formula>OFFSET(INDIRECT(ADDRESS(ROW(), COLUMN())),0,-1)&lt;OFFSET(INDIRECT(ADDRESS(ROW(), COLUMN())),0,-2)</formula>
    </cfRule>
  </conditionalFormatting>
  <conditionalFormatting sqref="D24:E24 D27:E37">
    <cfRule type="expression" dxfId="19" priority="13">
      <formula>$C24&gt;$B24</formula>
    </cfRule>
    <cfRule type="expression" dxfId="18" priority="14">
      <formula>$C24&lt;$B24</formula>
    </cfRule>
  </conditionalFormatting>
  <conditionalFormatting sqref="E14:E23">
    <cfRule type="expression" dxfId="17" priority="5">
      <formula>OFFSET(INDIRECT(ADDRESS(ROW(), COLUMN())),0,-2)&gt;OFFSET(INDIRECT(ADDRESS(ROW(), COLUMN())),0,-3)</formula>
    </cfRule>
    <cfRule type="expression" dxfId="16" priority="6">
      <formula>OFFSET(INDIRECT(ADDRESS(ROW(), COLUMN())),0,-2)&lt;OFFSET(INDIRECT(ADDRESS(ROW(), COLUMN())),0,-3)</formula>
    </cfRule>
  </conditionalFormatting>
  <conditionalFormatting sqref="N2:N11">
    <cfRule type="expression" dxfId="15" priority="7">
      <formula>OFFSET(INDIRECT(ADDRESS(ROW(), COLUMN())),0,-1)&gt;OFFSET(INDIRECT(ADDRESS(ROW(), COLUMN())),0,-2)</formula>
    </cfRule>
    <cfRule type="expression" dxfId="14" priority="8">
      <formula>OFFSET(INDIRECT(ADDRESS(ROW(), COLUMN())),0,-1)&lt;OFFSET(INDIRECT(ADDRESS(ROW(), COLUMN())),0,-2)</formula>
    </cfRule>
  </conditionalFormatting>
  <conditionalFormatting sqref="O2:O11">
    <cfRule type="expression" dxfId="13" priority="9">
      <formula>OFFSET(INDIRECT(ADDRESS(ROW(), COLUMN())),0,-2)&gt;OFFSET(INDIRECT(ADDRESS(ROW(), COLUMN())),0,-3)</formula>
    </cfRule>
    <cfRule type="expression" dxfId="12" priority="10">
      <formula>OFFSET(INDIRECT(ADDRESS(ROW(), COLUMN())),0,-2)&lt;OFFSET(INDIRECT(ADDRESS(ROW(), COLUMN())),0,-3)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F6828-EE3E-4840-9224-88030175FA06}">
  <dimension ref="A1:M12"/>
  <sheetViews>
    <sheetView workbookViewId="0">
      <selection activeCell="G37" sqref="G37"/>
    </sheetView>
  </sheetViews>
  <sheetFormatPr defaultRowHeight="15" x14ac:dyDescent="0.25"/>
  <cols>
    <col min="1" max="1" width="35.42578125" bestFit="1" customWidth="1"/>
    <col min="2" max="2" width="10" bestFit="1" customWidth="1"/>
    <col min="3" max="3" width="9" bestFit="1" customWidth="1"/>
    <col min="4" max="4" width="10" bestFit="1" customWidth="1"/>
    <col min="5" max="6" width="9" bestFit="1" customWidth="1"/>
    <col min="7" max="13" width="10" bestFit="1" customWidth="1"/>
    <col min="14" max="14" width="11.42578125" customWidth="1"/>
    <col min="15" max="15" width="5.140625" bestFit="1" customWidth="1"/>
  </cols>
  <sheetData>
    <row r="1" spans="1:13" x14ac:dyDescent="0.25">
      <c r="A1" t="s">
        <v>0</v>
      </c>
      <c r="B1" t="s">
        <v>43</v>
      </c>
      <c r="C1" t="s">
        <v>3</v>
      </c>
      <c r="D1" t="s">
        <v>4</v>
      </c>
      <c r="E1" t="s">
        <v>5</v>
      </c>
      <c r="F1" t="s">
        <v>6</v>
      </c>
      <c r="G1" t="s">
        <v>1</v>
      </c>
      <c r="H1" t="s">
        <v>7</v>
      </c>
      <c r="I1" t="s">
        <v>8</v>
      </c>
      <c r="J1" t="s">
        <v>9</v>
      </c>
      <c r="K1" t="s">
        <v>37</v>
      </c>
      <c r="L1" t="s">
        <v>38</v>
      </c>
      <c r="M1" t="s">
        <v>41</v>
      </c>
    </row>
    <row r="2" spans="1:13" x14ac:dyDescent="0.25">
      <c r="A2" t="s">
        <v>20</v>
      </c>
      <c r="B2">
        <v>37270.080000000002</v>
      </c>
      <c r="C2">
        <v>38523.4</v>
      </c>
      <c r="D2">
        <v>36726.75</v>
      </c>
      <c r="E2">
        <v>39950.519999999997</v>
      </c>
      <c r="F2">
        <v>30540.17</v>
      </c>
      <c r="G2">
        <v>28609.439999999999</v>
      </c>
      <c r="H2">
        <v>28518.25</v>
      </c>
      <c r="I2">
        <v>29366.86</v>
      </c>
      <c r="J2">
        <v>28373.09</v>
      </c>
      <c r="K2">
        <v>27369.18</v>
      </c>
      <c r="L2">
        <v>24408.639999999999</v>
      </c>
      <c r="M2">
        <v>18619.03</v>
      </c>
    </row>
    <row r="3" spans="1:13" x14ac:dyDescent="0.25">
      <c r="A3" t="s">
        <v>22</v>
      </c>
      <c r="B3">
        <v>15533.47</v>
      </c>
      <c r="C3">
        <v>14213</v>
      </c>
      <c r="D3">
        <v>14189.13</v>
      </c>
      <c r="E3">
        <v>14290.04</v>
      </c>
      <c r="F3">
        <v>14447.74</v>
      </c>
      <c r="G3">
        <v>14572.88</v>
      </c>
      <c r="H3">
        <v>14560.09</v>
      </c>
      <c r="I3">
        <v>14635.48</v>
      </c>
      <c r="J3">
        <v>14779.64</v>
      </c>
      <c r="K3">
        <v>14845.32</v>
      </c>
      <c r="L3">
        <v>14890.58</v>
      </c>
      <c r="M3">
        <v>14977.25</v>
      </c>
    </row>
    <row r="4" spans="1:13" x14ac:dyDescent="0.25">
      <c r="A4" t="s">
        <v>44</v>
      </c>
      <c r="B4">
        <v>0</v>
      </c>
      <c r="C4">
        <v>19198.2</v>
      </c>
      <c r="D4">
        <v>18090.05</v>
      </c>
      <c r="E4">
        <v>18180.91</v>
      </c>
      <c r="F4">
        <v>12712.53</v>
      </c>
      <c r="G4">
        <v>11405.18</v>
      </c>
      <c r="H4">
        <v>11247.32</v>
      </c>
      <c r="I4">
        <v>11417.78</v>
      </c>
      <c r="J4">
        <v>11427.17</v>
      </c>
      <c r="K4">
        <v>11301.19</v>
      </c>
      <c r="L4">
        <v>11592.77</v>
      </c>
      <c r="M4">
        <v>10951.83</v>
      </c>
    </row>
    <row r="5" spans="1:13" x14ac:dyDescent="0.25">
      <c r="A5" t="s">
        <v>25</v>
      </c>
      <c r="B5">
        <v>13503.21</v>
      </c>
      <c r="C5">
        <v>12466.45</v>
      </c>
      <c r="D5">
        <v>10971.94</v>
      </c>
      <c r="E5">
        <v>12132.61</v>
      </c>
      <c r="F5">
        <v>11839.03</v>
      </c>
      <c r="G5">
        <v>12145.88</v>
      </c>
      <c r="H5">
        <v>11712.29</v>
      </c>
      <c r="I5">
        <v>11282.12</v>
      </c>
      <c r="J5">
        <v>10648.25</v>
      </c>
      <c r="K5">
        <v>10313.76</v>
      </c>
      <c r="L5">
        <v>10541.13</v>
      </c>
      <c r="M5">
        <v>10645.95</v>
      </c>
    </row>
    <row r="6" spans="1:13" x14ac:dyDescent="0.25">
      <c r="A6" t="s">
        <v>51</v>
      </c>
      <c r="B6">
        <v>4203.84</v>
      </c>
      <c r="C6">
        <v>4455.47</v>
      </c>
      <c r="D6">
        <v>5681.63</v>
      </c>
      <c r="E6">
        <v>5847.08</v>
      </c>
      <c r="F6">
        <v>5847.64</v>
      </c>
      <c r="G6">
        <v>6044.02</v>
      </c>
      <c r="H6">
        <v>5936.9</v>
      </c>
      <c r="I6">
        <v>6306.8</v>
      </c>
      <c r="J6">
        <v>6329.23</v>
      </c>
      <c r="K6">
        <v>7022.81</v>
      </c>
      <c r="L6">
        <v>10372.14</v>
      </c>
      <c r="M6">
        <v>10550.68</v>
      </c>
    </row>
    <row r="7" spans="1:13" x14ac:dyDescent="0.25">
      <c r="A7" t="s">
        <v>21</v>
      </c>
      <c r="B7">
        <v>36177.69</v>
      </c>
      <c r="C7">
        <v>28939.16</v>
      </c>
      <c r="D7">
        <v>27367.54</v>
      </c>
      <c r="E7">
        <v>30407.66</v>
      </c>
      <c r="F7">
        <v>14716.14</v>
      </c>
      <c r="G7">
        <v>10560</v>
      </c>
      <c r="H7">
        <v>10281.57</v>
      </c>
      <c r="I7">
        <v>10666.12</v>
      </c>
      <c r="J7">
        <v>11685.39</v>
      </c>
      <c r="K7">
        <v>11673.91</v>
      </c>
      <c r="L7">
        <v>11351.46</v>
      </c>
      <c r="M7">
        <v>10400.299999999999</v>
      </c>
    </row>
    <row r="8" spans="1:13" x14ac:dyDescent="0.25">
      <c r="A8" t="s">
        <v>36</v>
      </c>
      <c r="B8">
        <v>7204.44</v>
      </c>
      <c r="C8">
        <v>6417.14</v>
      </c>
      <c r="D8">
        <v>6982.62</v>
      </c>
      <c r="E8">
        <v>7296.92</v>
      </c>
      <c r="F8">
        <v>5628.92</v>
      </c>
      <c r="G8">
        <v>5857.62</v>
      </c>
      <c r="H8">
        <v>6479.59</v>
      </c>
      <c r="I8">
        <v>6072.37</v>
      </c>
      <c r="J8">
        <v>7058.86</v>
      </c>
      <c r="K8">
        <v>6665.81</v>
      </c>
      <c r="L8">
        <v>7569.25</v>
      </c>
      <c r="M8">
        <v>6771.36</v>
      </c>
    </row>
    <row r="9" spans="1:13" x14ac:dyDescent="0.25">
      <c r="A9" t="s">
        <v>24</v>
      </c>
      <c r="B9">
        <v>10668.5</v>
      </c>
      <c r="C9">
        <v>9678.14</v>
      </c>
      <c r="D9">
        <v>8725.09</v>
      </c>
      <c r="E9">
        <v>9780.5400000000009</v>
      </c>
      <c r="F9">
        <v>7767.79</v>
      </c>
      <c r="G9">
        <v>7369.94</v>
      </c>
      <c r="H9">
        <v>7062.6</v>
      </c>
      <c r="I9">
        <v>7046.61</v>
      </c>
      <c r="J9">
        <v>6462.86</v>
      </c>
      <c r="K9">
        <v>6195.95</v>
      </c>
      <c r="L9">
        <v>6361.38</v>
      </c>
      <c r="M9">
        <v>6076.62</v>
      </c>
    </row>
    <row r="10" spans="1:13" x14ac:dyDescent="0.25">
      <c r="A10" t="s">
        <v>47</v>
      </c>
      <c r="B10">
        <v>6782.61</v>
      </c>
      <c r="C10">
        <v>6268.08</v>
      </c>
      <c r="D10">
        <v>5790.21</v>
      </c>
      <c r="E10">
        <v>6450.86</v>
      </c>
      <c r="F10">
        <v>6226.52</v>
      </c>
      <c r="G10">
        <v>6372.73</v>
      </c>
      <c r="H10">
        <v>6123.1</v>
      </c>
      <c r="I10">
        <v>5821.82</v>
      </c>
      <c r="J10">
        <v>5431.6</v>
      </c>
      <c r="K10">
        <v>5295.76</v>
      </c>
      <c r="L10">
        <v>5588.04</v>
      </c>
      <c r="M10">
        <v>5880.56</v>
      </c>
    </row>
    <row r="11" spans="1:13" x14ac:dyDescent="0.25">
      <c r="A11" t="s">
        <v>23</v>
      </c>
      <c r="B11">
        <v>11624.73</v>
      </c>
      <c r="C11">
        <v>10921.96</v>
      </c>
      <c r="D11">
        <v>10948.2</v>
      </c>
      <c r="E11">
        <v>12076.46</v>
      </c>
      <c r="F11">
        <v>6814.42</v>
      </c>
      <c r="G11">
        <v>5276.5</v>
      </c>
      <c r="H11">
        <v>5191.57</v>
      </c>
      <c r="I11">
        <v>5276.56</v>
      </c>
      <c r="J11">
        <v>5276.59</v>
      </c>
      <c r="K11">
        <v>5191.84</v>
      </c>
      <c r="L11">
        <v>5269.48</v>
      </c>
      <c r="M11">
        <v>5506.4</v>
      </c>
    </row>
    <row r="12" spans="1:13" x14ac:dyDescent="0.25">
      <c r="A12" t="s">
        <v>18</v>
      </c>
      <c r="B12">
        <v>142968.57</v>
      </c>
      <c r="C12">
        <v>151081</v>
      </c>
      <c r="D12">
        <v>145473.16</v>
      </c>
      <c r="E12">
        <v>156413.6</v>
      </c>
      <c r="F12">
        <v>116540.9</v>
      </c>
      <c r="G12">
        <v>108214.19</v>
      </c>
      <c r="H12">
        <v>107113.28</v>
      </c>
      <c r="I12">
        <v>107892.52</v>
      </c>
      <c r="J12">
        <v>107472.68</v>
      </c>
      <c r="K12">
        <v>105875.53</v>
      </c>
      <c r="L12">
        <v>107944.87</v>
      </c>
      <c r="M12">
        <v>100379.98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C1A6C-C4CC-4C05-B8B7-E855B5666ADA}">
  <dimension ref="A1:R37"/>
  <sheetViews>
    <sheetView tabSelected="1" workbookViewId="0">
      <selection activeCell="L18" sqref="L18"/>
    </sheetView>
  </sheetViews>
  <sheetFormatPr defaultRowHeight="15" x14ac:dyDescent="0.25"/>
  <cols>
    <col min="1" max="1" width="43.42578125" bestFit="1" customWidth="1"/>
    <col min="2" max="3" width="16" bestFit="1" customWidth="1"/>
    <col min="4" max="4" width="14.42578125" bestFit="1" customWidth="1"/>
    <col min="5" max="5" width="17.28515625" bestFit="1" customWidth="1"/>
    <col min="6" max="6" width="14.28515625" bestFit="1" customWidth="1"/>
    <col min="7" max="7" width="18.42578125" bestFit="1" customWidth="1"/>
    <col min="8" max="8" width="18" bestFit="1" customWidth="1"/>
    <col min="9" max="13" width="14.28515625" bestFit="1" customWidth="1"/>
    <col min="14" max="14" width="14.42578125" bestFit="1" customWidth="1"/>
    <col min="15" max="15" width="17.28515625" bestFit="1" customWidth="1"/>
    <col min="16" max="16" width="9.42578125" customWidth="1"/>
    <col min="17" max="17" width="18" bestFit="1" customWidth="1"/>
    <col min="18" max="18" width="18.42578125" bestFit="1" customWidth="1"/>
  </cols>
  <sheetData>
    <row r="1" spans="1:18" ht="18.75" x14ac:dyDescent="0.3">
      <c r="A1" s="4" t="str">
        <f>aws_spend_top_accounts[[#Headers],[Month]]</f>
        <v>Month</v>
      </c>
      <c r="B1" s="4" t="str">
        <f>aws_spend_top_accounts[[#Headers],[Dec]]</f>
        <v>Dec</v>
      </c>
      <c r="C1" s="4" t="str">
        <f>aws_spend_top_accounts[[#Headers],[Jan]]</f>
        <v>Jan</v>
      </c>
      <c r="D1" s="4" t="str">
        <f>aws_spend_top_accounts[[#Headers],[Feb]]</f>
        <v>Feb</v>
      </c>
      <c r="E1" s="4" t="str">
        <f>aws_spend_top_accounts[[#Headers],[Mar]]</f>
        <v>Mar</v>
      </c>
      <c r="F1" s="4" t="str">
        <f>aws_spend_top_accounts[[#Headers],[Apr]]</f>
        <v>Apr</v>
      </c>
      <c r="G1" s="4" t="str">
        <f>aws_spend_top_accounts[[#Headers],[May]]</f>
        <v>May</v>
      </c>
      <c r="H1" s="4" t="str">
        <f>aws_spend_top_accounts[[#Headers],[Jun]]</f>
        <v>Jun</v>
      </c>
      <c r="I1" s="4" t="str">
        <f>aws_spend_top_accounts[[#Headers],[Jul]]</f>
        <v>Jul</v>
      </c>
      <c r="J1" s="4" t="str">
        <f>aws_spend_top_accounts[[#Headers],[Aug]]</f>
        <v>Aug</v>
      </c>
      <c r="K1" s="4" t="str">
        <f>aws_spend_top_accounts[[#Headers],[Sep]]</f>
        <v>Sep</v>
      </c>
      <c r="L1" s="4" t="str">
        <f>aws_spend_top_accounts[[#Headers],[Oct]]</f>
        <v>Oct</v>
      </c>
      <c r="M1" s="4" t="str">
        <f>aws_spend_top_accounts[[#Headers],[Nov]]</f>
        <v>Nov</v>
      </c>
      <c r="N1" s="4" t="s">
        <v>2</v>
      </c>
      <c r="O1" s="11" t="s">
        <v>26</v>
      </c>
      <c r="Q1" s="14" t="s">
        <v>29</v>
      </c>
      <c r="R1" s="14" t="s">
        <v>27</v>
      </c>
    </row>
    <row r="2" spans="1:18" ht="18.75" x14ac:dyDescent="0.3">
      <c r="A2" s="1" t="str">
        <f>aws_spend_top_accounts[[#This Row],[Month]]</f>
        <v>aws-ss-prod</v>
      </c>
      <c r="B2" s="50">
        <f>aws_spend_top_accounts[[#This Row],[Dec]]</f>
        <v>23610.75</v>
      </c>
      <c r="C2" s="50">
        <f>aws_spend_top_accounts[[#This Row],[Jan]]</f>
        <v>20345.2</v>
      </c>
      <c r="D2" s="50">
        <f>aws_spend_top_accounts[[#This Row],[Feb]]</f>
        <v>18585.54</v>
      </c>
      <c r="E2" s="50">
        <f>aws_spend_top_accounts[[#This Row],[Mar]]</f>
        <v>20790.07</v>
      </c>
      <c r="F2" s="50">
        <f>aws_spend_top_accounts[[#This Row],[Apr]]</f>
        <v>18360.12</v>
      </c>
      <c r="G2" s="50">
        <f>aws_spend_top_accounts[[#This Row],[May]]</f>
        <v>17906.16</v>
      </c>
      <c r="H2" s="50">
        <f>aws_spend_top_accounts[[#This Row],[Jun]]</f>
        <v>17248.88</v>
      </c>
      <c r="I2" s="50">
        <f>aws_spend_top_accounts[[#This Row],[Jul]]</f>
        <v>18583.810000000001</v>
      </c>
      <c r="J2" s="50">
        <f>aws_spend_top_accounts[[#This Row],[Aug]]</f>
        <v>18484.55</v>
      </c>
      <c r="K2" s="50">
        <f>aws_spend_top_accounts[[#This Row],[Sep]]</f>
        <v>17899</v>
      </c>
      <c r="L2" s="50">
        <f>aws_spend_top_accounts[[#This Row],[Oct]]</f>
        <v>19247.439999999999</v>
      </c>
      <c r="M2" s="50">
        <f>aws_spend_top_accounts[[#This Row],[Nov]]</f>
        <v>20482.990000000002</v>
      </c>
      <c r="N2" s="9" cm="1">
        <f t="array" aca="1" ref="N2" ca="1">ABS(OFFSET(INDIRECT(ADDRESS(ROW(), COLUMN())),0,-1)-OFFSET(INDIRECT(ADDRESS(ROW(), COLUMN())),0,-2))</f>
        <v>1235.5500000000029</v>
      </c>
      <c r="O2" s="12" cm="1">
        <f t="array" aca="1" ref="O2" ca="1">N2/OFFSET(INDIRECT(ADDRESS(ROW(), COLUMN())),0,-3)</f>
        <v>6.4192952413412011E-2</v>
      </c>
      <c r="Q2" s="6">
        <v>123998.33</v>
      </c>
      <c r="R2" s="7">
        <v>1835302.8699999999</v>
      </c>
    </row>
    <row r="3" spans="1:18" ht="18.75" x14ac:dyDescent="0.3">
      <c r="A3" s="1" t="str">
        <f>aws_spend_top_accounts[[#This Row],[Month]]</f>
        <v>Authority Brands</v>
      </c>
      <c r="B3" s="50">
        <f>aws_spend_top_accounts[[#This Row],[Dec]]</f>
        <v>15908.59</v>
      </c>
      <c r="C3" s="50">
        <f>aws_spend_top_accounts[[#This Row],[Jan]]</f>
        <v>35232.49</v>
      </c>
      <c r="D3" s="50">
        <f>aws_spend_top_accounts[[#This Row],[Feb]]</f>
        <v>32527.42</v>
      </c>
      <c r="E3" s="50">
        <f>aws_spend_top_accounts[[#This Row],[Mar]]</f>
        <v>35901.07</v>
      </c>
      <c r="F3" s="50">
        <f>aws_spend_top_accounts[[#This Row],[Apr]]</f>
        <v>29849.41</v>
      </c>
      <c r="G3" s="50">
        <f>aws_spend_top_accounts[[#This Row],[May]]</f>
        <v>29103.98</v>
      </c>
      <c r="H3" s="50">
        <f>aws_spend_top_accounts[[#This Row],[Jun]]</f>
        <v>28370.57</v>
      </c>
      <c r="I3" s="50">
        <f>aws_spend_top_accounts[[#This Row],[Jul]]</f>
        <v>29985.5</v>
      </c>
      <c r="J3" s="50">
        <f>aws_spend_top_accounts[[#This Row],[Aug]]</f>
        <v>29992.71</v>
      </c>
      <c r="K3" s="50">
        <f>aws_spend_top_accounts[[#This Row],[Sep]]</f>
        <v>29285.67</v>
      </c>
      <c r="L3" s="50">
        <f>aws_spend_top_accounts[[#This Row],[Oct]]</f>
        <v>29878.03</v>
      </c>
      <c r="M3" s="50">
        <f>aws_spend_top_accounts[[#This Row],[Nov]]</f>
        <v>20205.759999999998</v>
      </c>
      <c r="N3" s="9" cm="1">
        <f t="array" aca="1" ref="N3" ca="1">ABS(OFFSET(INDIRECT(ADDRESS(ROW(), COLUMN())),0,-1)-OFFSET(INDIRECT(ADDRESS(ROW(), COLUMN())),0,-2))</f>
        <v>9672.27</v>
      </c>
      <c r="O3" s="12" cm="1">
        <f t="array" aca="1" ref="O3" ca="1">N3/OFFSET(INDIRECT(ADDRESS(ROW(), COLUMN())),0,-3)</f>
        <v>0.32372515858642625</v>
      </c>
    </row>
    <row r="4" spans="1:18" ht="18.75" x14ac:dyDescent="0.3">
      <c r="A4" s="1" t="str">
        <f>aws_spend_top_accounts[[#This Row],[Month]]</f>
        <v>aws-abcd-prod</v>
      </c>
      <c r="B4" s="50">
        <f>aws_spend_top_accounts[[#This Row],[Dec]]</f>
        <v>13009.67</v>
      </c>
      <c r="C4" s="50">
        <f>aws_spend_top_accounts[[#This Row],[Jan]]</f>
        <v>10944.6</v>
      </c>
      <c r="D4" s="50">
        <f>aws_spend_top_accounts[[#This Row],[Feb]]</f>
        <v>13019.92</v>
      </c>
      <c r="E4" s="50">
        <f>aws_spend_top_accounts[[#This Row],[Mar]]</f>
        <v>12730.94</v>
      </c>
      <c r="F4" s="50">
        <f>aws_spend_top_accounts[[#This Row],[Apr]]</f>
        <v>9638.4699999999993</v>
      </c>
      <c r="G4" s="50">
        <f>aws_spend_top_accounts[[#This Row],[May]]</f>
        <v>10119.02</v>
      </c>
      <c r="H4" s="50">
        <f>aws_spend_top_accounts[[#This Row],[Jun]]</f>
        <v>11121.4</v>
      </c>
      <c r="I4" s="50">
        <f>aws_spend_top_accounts[[#This Row],[Jul]]</f>
        <v>11257.74</v>
      </c>
      <c r="J4" s="50">
        <f>aws_spend_top_accounts[[#This Row],[Aug]]</f>
        <v>12467.47</v>
      </c>
      <c r="K4" s="50">
        <f>aws_spend_top_accounts[[#This Row],[Sep]]</f>
        <v>12974.01</v>
      </c>
      <c r="L4" s="50">
        <f>aws_spend_top_accounts[[#This Row],[Oct]]</f>
        <v>16875.11</v>
      </c>
      <c r="M4" s="50">
        <f>aws_spend_top_accounts[[#This Row],[Nov]]</f>
        <v>16214.98</v>
      </c>
      <c r="N4" s="9" cm="1">
        <f t="array" aca="1" ref="N4" ca="1">ABS(OFFSET(INDIRECT(ADDRESS(ROW(), COLUMN())),0,-1)-OFFSET(INDIRECT(ADDRESS(ROW(), COLUMN())),0,-2))</f>
        <v>660.13000000000102</v>
      </c>
      <c r="O4" s="12" cm="1">
        <f t="array" aca="1" ref="O4" ca="1">N4/OFFSET(INDIRECT(ADDRESS(ROW(), COLUMN())),0,-3)</f>
        <v>3.9118559819758272E-2</v>
      </c>
    </row>
    <row r="5" spans="1:18" ht="18.75" x14ac:dyDescent="0.3">
      <c r="A5" s="1" t="str">
        <f>aws_spend_top_accounts[[#This Row],[Month]]</f>
        <v>The Cleaning Authority - Production</v>
      </c>
      <c r="B5" s="50">
        <f>aws_spend_top_accounts[[#This Row],[Dec]]</f>
        <v>15887.82</v>
      </c>
      <c r="C5" s="50">
        <f>aws_spend_top_accounts[[#This Row],[Jan]]</f>
        <v>13439.86</v>
      </c>
      <c r="D5" s="50">
        <f>aws_spend_top_accounts[[#This Row],[Feb]]</f>
        <v>13119.99</v>
      </c>
      <c r="E5" s="50">
        <f>aws_spend_top_accounts[[#This Row],[Mar]]</f>
        <v>13910.7</v>
      </c>
      <c r="F5" s="50">
        <f>aws_spend_top_accounts[[#This Row],[Apr]]</f>
        <v>12025.92</v>
      </c>
      <c r="G5" s="50">
        <f>aws_spend_top_accounts[[#This Row],[May]]</f>
        <v>11611.08</v>
      </c>
      <c r="H5" s="50">
        <f>aws_spend_top_accounts[[#This Row],[Jun]]</f>
        <v>11554.95</v>
      </c>
      <c r="I5" s="50">
        <f>aws_spend_top_accounts[[#This Row],[Jul]]</f>
        <v>12003.17</v>
      </c>
      <c r="J5" s="50">
        <f>aws_spend_top_accounts[[#This Row],[Aug]]</f>
        <v>11964.01</v>
      </c>
      <c r="K5" s="50">
        <f>aws_spend_top_accounts[[#This Row],[Sep]]</f>
        <v>12009.95</v>
      </c>
      <c r="L5" s="50">
        <f>aws_spend_top_accounts[[#This Row],[Oct]]</f>
        <v>12097.7</v>
      </c>
      <c r="M5" s="50">
        <f>aws_spend_top_accounts[[#This Row],[Nov]]</f>
        <v>12079.75</v>
      </c>
      <c r="N5" s="9" cm="1">
        <f t="array" aca="1" ref="N5" ca="1">ABS(OFFSET(INDIRECT(ADDRESS(ROW(), COLUMN())),0,-1)-OFFSET(INDIRECT(ADDRESS(ROW(), COLUMN())),0,-2))</f>
        <v>17.950000000000728</v>
      </c>
      <c r="O5" s="12" cm="1">
        <f t="array" aca="1" ref="O5" ca="1">N5/OFFSET(INDIRECT(ADDRESS(ROW(), COLUMN())),0,-3)</f>
        <v>1.4837531100953675E-3</v>
      </c>
    </row>
    <row r="6" spans="1:18" ht="18.75" x14ac:dyDescent="0.3">
      <c r="A6" s="1" t="str">
        <f>aws_spend_top_accounts[[#This Row],[Month]]</f>
        <v>aws-backups</v>
      </c>
      <c r="B6" s="50">
        <f>aws_spend_top_accounts[[#This Row],[Dec]]</f>
        <v>11168.82</v>
      </c>
      <c r="C6" s="50">
        <f>aws_spend_top_accounts[[#This Row],[Jan]]</f>
        <v>10272.82</v>
      </c>
      <c r="D6" s="50">
        <f>aws_spend_top_accounts[[#This Row],[Feb]]</f>
        <v>10279.620000000001</v>
      </c>
      <c r="E6" s="50">
        <f>aws_spend_top_accounts[[#This Row],[Mar]]</f>
        <v>10226.200000000001</v>
      </c>
      <c r="F6" s="50">
        <f>aws_spend_top_accounts[[#This Row],[Apr]]</f>
        <v>10160.620000000001</v>
      </c>
      <c r="G6" s="50">
        <f>aws_spend_top_accounts[[#This Row],[May]]</f>
        <v>10177.93</v>
      </c>
      <c r="H6" s="50">
        <f>aws_spend_top_accounts[[#This Row],[Jun]]</f>
        <v>10220.69</v>
      </c>
      <c r="I6" s="50">
        <f>aws_spend_top_accounts[[#This Row],[Jul]]</f>
        <v>10604.61</v>
      </c>
      <c r="J6" s="50">
        <f>aws_spend_top_accounts[[#This Row],[Aug]]</f>
        <v>10353.58</v>
      </c>
      <c r="K6" s="50">
        <f>aws_spend_top_accounts[[#This Row],[Sep]]</f>
        <v>10095.42</v>
      </c>
      <c r="L6" s="50">
        <f>aws_spend_top_accounts[[#This Row],[Oct]]</f>
        <v>10091.540000000001</v>
      </c>
      <c r="M6" s="50">
        <f>aws_spend_top_accounts[[#This Row],[Nov]]</f>
        <v>9964.11</v>
      </c>
      <c r="N6" s="9" cm="1">
        <f t="array" aca="1" ref="N6" ca="1">ABS(OFFSET(INDIRECT(ADDRESS(ROW(), COLUMN())),0,-1)-OFFSET(INDIRECT(ADDRESS(ROW(), COLUMN())),0,-2))</f>
        <v>127.43000000000029</v>
      </c>
      <c r="O6" s="12" cm="1">
        <f t="array" aca="1" ref="O6" ca="1">N6/OFFSET(INDIRECT(ADDRESS(ROW(), COLUMN())),0,-3)</f>
        <v>1.2627408700753332E-2</v>
      </c>
    </row>
    <row r="7" spans="1:18" ht="18.75" x14ac:dyDescent="0.3">
      <c r="A7" s="1" t="str">
        <f>aws_spend_top_accounts[[#This Row],[Month]]</f>
        <v>Log archive</v>
      </c>
      <c r="B7" s="50">
        <f>aws_spend_top_accounts[[#This Row],[Dec]]</f>
        <v>7602.99</v>
      </c>
      <c r="C7" s="50">
        <f>aws_spend_top_accounts[[#This Row],[Jan]]</f>
        <v>6504.02</v>
      </c>
      <c r="D7" s="50">
        <f>aws_spend_top_accounts[[#This Row],[Feb]]</f>
        <v>5998.66</v>
      </c>
      <c r="E7" s="50">
        <f>aws_spend_top_accounts[[#This Row],[Mar]]</f>
        <v>6370.85</v>
      </c>
      <c r="F7" s="50">
        <f>aws_spend_top_accounts[[#This Row],[Apr]]</f>
        <v>5683.6</v>
      </c>
      <c r="G7" s="50">
        <f>aws_spend_top_accounts[[#This Row],[May]]</f>
        <v>5629.73</v>
      </c>
      <c r="H7" s="50">
        <f>aws_spend_top_accounts[[#This Row],[Jun]]</f>
        <v>5544.55</v>
      </c>
      <c r="I7" s="50">
        <f>aws_spend_top_accounts[[#This Row],[Jul]]</f>
        <v>5797.15</v>
      </c>
      <c r="J7" s="50">
        <f>aws_spend_top_accounts[[#This Row],[Aug]]</f>
        <v>5788.67</v>
      </c>
      <c r="K7" s="50">
        <f>aws_spend_top_accounts[[#This Row],[Sep]]</f>
        <v>5697.36</v>
      </c>
      <c r="L7" s="50">
        <f>aws_spend_top_accounts[[#This Row],[Oct]]</f>
        <v>6071.59</v>
      </c>
      <c r="M7" s="50">
        <f>aws_spend_top_accounts[[#This Row],[Nov]]</f>
        <v>6519.98</v>
      </c>
      <c r="N7" s="9" cm="1">
        <f t="array" aca="1" ref="N7" ca="1">ABS(OFFSET(INDIRECT(ADDRESS(ROW(), COLUMN())),0,-1)-OFFSET(INDIRECT(ADDRESS(ROW(), COLUMN())),0,-2))</f>
        <v>448.38999999999942</v>
      </c>
      <c r="O7" s="12" cm="1">
        <f t="array" aca="1" ref="O7" ca="1">N7/OFFSET(INDIRECT(ADDRESS(ROW(), COLUMN())),0,-3)</f>
        <v>7.3850507033577595E-2</v>
      </c>
    </row>
    <row r="8" spans="1:18" ht="18.75" x14ac:dyDescent="0.3">
      <c r="A8" s="1" t="str">
        <f>aws_spend_top_accounts[[#This Row],[Month]]</f>
        <v>aws-dw-dev</v>
      </c>
      <c r="B8" s="50">
        <f>aws_spend_top_accounts[[#This Row],[Dec]]</f>
        <v>3856.97</v>
      </c>
      <c r="C8" s="50">
        <f>aws_spend_top_accounts[[#This Row],[Jan]]</f>
        <v>3404.68</v>
      </c>
      <c r="D8" s="50">
        <f>aws_spend_top_accounts[[#This Row],[Feb]]</f>
        <v>3143.52</v>
      </c>
      <c r="E8" s="50">
        <f>aws_spend_top_accounts[[#This Row],[Mar]]</f>
        <v>4063.68</v>
      </c>
      <c r="F8" s="50">
        <f>aws_spend_top_accounts[[#This Row],[Apr]]</f>
        <v>4622.6400000000003</v>
      </c>
      <c r="G8" s="50">
        <f>aws_spend_top_accounts[[#This Row],[May]]</f>
        <v>4682.5</v>
      </c>
      <c r="H8" s="50">
        <f>aws_spend_top_accounts[[#This Row],[Jun]]</f>
        <v>4555.37</v>
      </c>
      <c r="I8" s="50">
        <f>aws_spend_top_accounts[[#This Row],[Jul]]</f>
        <v>5432.7</v>
      </c>
      <c r="J8" s="50">
        <f>aws_spend_top_accounts[[#This Row],[Aug]]</f>
        <v>5543.76</v>
      </c>
      <c r="K8" s="50">
        <f>aws_spend_top_accounts[[#This Row],[Sep]]</f>
        <v>5263.65</v>
      </c>
      <c r="L8" s="50">
        <f>aws_spend_top_accounts[[#This Row],[Oct]]</f>
        <v>5813.65</v>
      </c>
      <c r="M8" s="50">
        <f>aws_spend_top_accounts[[#This Row],[Nov]]</f>
        <v>5732.81</v>
      </c>
      <c r="N8" s="9" cm="1">
        <f t="array" aca="1" ref="N8" ca="1">ABS(OFFSET(INDIRECT(ADDRESS(ROW(), COLUMN())),0,-1)-OFFSET(INDIRECT(ADDRESS(ROW(), COLUMN())),0,-2))</f>
        <v>80.839999999999236</v>
      </c>
      <c r="O8" s="12" cm="1">
        <f t="array" aca="1" ref="O8" ca="1">N8/OFFSET(INDIRECT(ADDRESS(ROW(), COLUMN())),0,-3)</f>
        <v>1.3905205851745331E-2</v>
      </c>
    </row>
    <row r="9" spans="1:18" ht="18.75" x14ac:dyDescent="0.3">
      <c r="A9" s="1" t="str">
        <f>aws_spend_top_accounts[[#This Row],[Month]]</f>
        <v>aws-dw-qa</v>
      </c>
      <c r="B9" s="50">
        <f>aws_spend_top_accounts[[#This Row],[Dec]]</f>
        <v>3843.09</v>
      </c>
      <c r="C9" s="50">
        <f>aws_spend_top_accounts[[#This Row],[Jan]]</f>
        <v>3666.31</v>
      </c>
      <c r="D9" s="50">
        <f>aws_spend_top_accounts[[#This Row],[Feb]]</f>
        <v>3360.56</v>
      </c>
      <c r="E9" s="50">
        <f>aws_spend_top_accounts[[#This Row],[Mar]]</f>
        <v>3960.83</v>
      </c>
      <c r="F9" s="50">
        <f>aws_spend_top_accounts[[#This Row],[Apr]]</f>
        <v>4163.24</v>
      </c>
      <c r="G9" s="50">
        <f>aws_spend_top_accounts[[#This Row],[May]]</f>
        <v>4466.91</v>
      </c>
      <c r="H9" s="50">
        <f>aws_spend_top_accounts[[#This Row],[Jun]]</f>
        <v>4103.5200000000004</v>
      </c>
      <c r="I9" s="50">
        <f>aws_spend_top_accounts[[#This Row],[Jul]]</f>
        <v>4581.24</v>
      </c>
      <c r="J9" s="50">
        <f>aws_spend_top_accounts[[#This Row],[Aug]]</f>
        <v>4803.03</v>
      </c>
      <c r="K9" s="50">
        <f>aws_spend_top_accounts[[#This Row],[Sep]]</f>
        <v>4710.7700000000004</v>
      </c>
      <c r="L9" s="50">
        <f>aws_spend_top_accounts[[#This Row],[Oct]]</f>
        <v>4907.17</v>
      </c>
      <c r="M9" s="50">
        <f>aws_spend_top_accounts[[#This Row],[Nov]]</f>
        <v>4834.12</v>
      </c>
      <c r="N9" s="9" cm="1">
        <f t="array" aca="1" ref="N9" ca="1">ABS(OFFSET(INDIRECT(ADDRESS(ROW(), COLUMN())),0,-1)-OFFSET(INDIRECT(ADDRESS(ROW(), COLUMN())),0,-2))</f>
        <v>73.050000000000182</v>
      </c>
      <c r="O9" s="12" cm="1">
        <f t="array" aca="1" ref="O9" ca="1">N9/OFFSET(INDIRECT(ADDRESS(ROW(), COLUMN())),0,-3)</f>
        <v>1.4886380541126593E-2</v>
      </c>
    </row>
    <row r="10" spans="1:18" ht="18.75" x14ac:dyDescent="0.3">
      <c r="A10" s="1" t="str">
        <f>aws_spend_top_accounts[[#This Row],[Month]]</f>
        <v>Audit</v>
      </c>
      <c r="B10" s="50">
        <f>aws_spend_top_accounts[[#This Row],[Dec]]</f>
        <v>5923.66</v>
      </c>
      <c r="C10" s="50">
        <f>aws_spend_top_accounts[[#This Row],[Jan]]</f>
        <v>4566.45</v>
      </c>
      <c r="D10" s="50">
        <f>aws_spend_top_accounts[[#This Row],[Feb]]</f>
        <v>3445.4</v>
      </c>
      <c r="E10" s="50">
        <f>aws_spend_top_accounts[[#This Row],[Mar]]</f>
        <v>4296.88</v>
      </c>
      <c r="F10" s="50">
        <f>aws_spend_top_accounts[[#This Row],[Apr]]</f>
        <v>3734.06</v>
      </c>
      <c r="G10" s="50">
        <f>aws_spend_top_accounts[[#This Row],[May]]</f>
        <v>3680.22</v>
      </c>
      <c r="H10" s="50">
        <f>aws_spend_top_accounts[[#This Row],[Jun]]</f>
        <v>3441.54</v>
      </c>
      <c r="I10" s="50">
        <f>aws_spend_top_accounts[[#This Row],[Jul]]</f>
        <v>4061.61</v>
      </c>
      <c r="J10" s="50">
        <f>aws_spend_top_accounts[[#This Row],[Aug]]</f>
        <v>4217.42</v>
      </c>
      <c r="K10" s="50">
        <f>aws_spend_top_accounts[[#This Row],[Sep]]</f>
        <v>4206.05</v>
      </c>
      <c r="L10" s="50">
        <f>aws_spend_top_accounts[[#This Row],[Oct]]</f>
        <v>4398.57</v>
      </c>
      <c r="M10" s="50">
        <f>aws_spend_top_accounts[[#This Row],[Nov]]</f>
        <v>4285.33</v>
      </c>
      <c r="N10" s="9" cm="1">
        <f t="array" aca="1" ref="N10" ca="1">ABS(OFFSET(INDIRECT(ADDRESS(ROW(), COLUMN())),0,-1)-OFFSET(INDIRECT(ADDRESS(ROW(), COLUMN())),0,-2))</f>
        <v>113.23999999999978</v>
      </c>
      <c r="O10" s="12" cm="1">
        <f t="array" aca="1" ref="O10" ca="1">N10/OFFSET(INDIRECT(ADDRESS(ROW(), COLUMN())),0,-3)</f>
        <v>2.5744730673832584E-2</v>
      </c>
    </row>
    <row r="11" spans="1:18" ht="18.75" x14ac:dyDescent="0.3">
      <c r="A11" s="1" t="str">
        <f>aws_spend_top_accounts[[#This Row],[Month]]</f>
        <v>aws-doody-prod</v>
      </c>
      <c r="B11" s="50">
        <f>aws_spend_top_accounts[[#This Row],[Dec]]</f>
        <v>3644.3</v>
      </c>
      <c r="C11" s="50">
        <f>aws_spend_top_accounts[[#This Row],[Jan]]</f>
        <v>3986.04</v>
      </c>
      <c r="D11" s="50">
        <f>aws_spend_top_accounts[[#This Row],[Feb]]</f>
        <v>3758.22</v>
      </c>
      <c r="E11" s="50">
        <f>aws_spend_top_accounts[[#This Row],[Mar]]</f>
        <v>4158.6899999999996</v>
      </c>
      <c r="F11" s="50">
        <f>aws_spend_top_accounts[[#This Row],[Apr]]</f>
        <v>4003.1</v>
      </c>
      <c r="G11" s="50">
        <f>aws_spend_top_accounts[[#This Row],[May]]</f>
        <v>4134.68</v>
      </c>
      <c r="H11" s="50">
        <f>aws_spend_top_accounts[[#This Row],[Jun]]</f>
        <v>4013.61</v>
      </c>
      <c r="I11" s="50">
        <f>aws_spend_top_accounts[[#This Row],[Jul]]</f>
        <v>4299.3599999999997</v>
      </c>
      <c r="J11" s="50">
        <f>aws_spend_top_accounts[[#This Row],[Aug]]</f>
        <v>4274.3599999999997</v>
      </c>
      <c r="K11" s="50">
        <f>aws_spend_top_accounts[[#This Row],[Sep]]</f>
        <v>4143.3100000000004</v>
      </c>
      <c r="L11" s="50">
        <f>aws_spend_top_accounts[[#This Row],[Oct]]</f>
        <v>4270.66</v>
      </c>
      <c r="M11" s="50">
        <f>aws_spend_top_accounts[[#This Row],[Nov]]</f>
        <v>4143.25</v>
      </c>
      <c r="N11" s="9" cm="1">
        <f t="array" aca="1" ref="N11" ca="1">ABS(OFFSET(INDIRECT(ADDRESS(ROW(), COLUMN())),0,-1)-OFFSET(INDIRECT(ADDRESS(ROW(), COLUMN())),0,-2))</f>
        <v>127.40999999999985</v>
      </c>
      <c r="O11" s="12" cm="1">
        <f t="array" aca="1" ref="O11" ca="1">N11/OFFSET(INDIRECT(ADDRESS(ROW(), COLUMN())),0,-3)</f>
        <v>2.983379618138645E-2</v>
      </c>
    </row>
    <row r="13" spans="1:18" ht="18.75" x14ac:dyDescent="0.3">
      <c r="A13" s="4" t="s">
        <v>0</v>
      </c>
      <c r="B13" s="4" t="str">
        <f ca="1">OFFSET(N1,0,-2)</f>
        <v>Oct</v>
      </c>
      <c r="C13" s="32" t="str">
        <f ca="1">OFFSET(N1,0,-1)</f>
        <v>Nov</v>
      </c>
      <c r="D13" s="32" t="s">
        <v>2</v>
      </c>
      <c r="E13" s="42" t="s">
        <v>26</v>
      </c>
      <c r="F13" s="26" t="s">
        <v>28</v>
      </c>
      <c r="G13" s="19" t="s">
        <v>53</v>
      </c>
      <c r="H13" s="20" t="s">
        <v>46</v>
      </c>
    </row>
    <row r="14" spans="1:18" ht="18.75" x14ac:dyDescent="0.3">
      <c r="A14" s="1" t="str">
        <f>A2</f>
        <v>aws-ss-prod</v>
      </c>
      <c r="B14" s="47">
        <f ca="1">OFFSET($N2,0,-2)</f>
        <v>19247.439999999999</v>
      </c>
      <c r="C14" s="47">
        <f ca="1">OFFSET($N2,0,-1)</f>
        <v>20482.990000000002</v>
      </c>
      <c r="D14" s="9" cm="1">
        <f t="array" aca="1" ref="D14" ca="1">ABS(OFFSET(INDIRECT(ADDRESS(ROW(), COLUMN())),0,-1)-OFFSET(INDIRECT(ADDRESS(ROW(), COLUMN())),0,-2))</f>
        <v>1235.5500000000029</v>
      </c>
      <c r="E14" s="12" cm="1">
        <f t="array" aca="1" ref="E14" ca="1">D14/OFFSET(INDIRECT(ADDRESS(ROW(), COLUMN())),0,-3)</f>
        <v>6.4192952413412011E-2</v>
      </c>
      <c r="F14" s="44">
        <f ca="1">C14/$Q$2</f>
        <v>0.16518762793015035</v>
      </c>
      <c r="G14" s="48">
        <f>SUM(B2:M2)</f>
        <v>231544.50999999998</v>
      </c>
      <c r="H14" s="34">
        <f>G14/$R$2</f>
        <v>0.12616147110367673</v>
      </c>
    </row>
    <row r="15" spans="1:18" ht="18.75" x14ac:dyDescent="0.3">
      <c r="A15" s="1" t="str">
        <f t="shared" ref="A15:A23" si="0">A3</f>
        <v>Authority Brands</v>
      </c>
      <c r="B15" s="47">
        <f t="shared" ref="B15:B23" ca="1" si="1">OFFSET($N3,0,-2)</f>
        <v>29878.03</v>
      </c>
      <c r="C15" s="47">
        <f t="shared" ref="C15:C23" ca="1" si="2">OFFSET($N3,0,-1)</f>
        <v>20205.759999999998</v>
      </c>
      <c r="D15" s="9" cm="1">
        <f t="array" aca="1" ref="D15" ca="1">ABS(OFFSET(INDIRECT(ADDRESS(ROW(), COLUMN())),0,-1)-OFFSET(INDIRECT(ADDRESS(ROW(), COLUMN())),0,-2))</f>
        <v>9672.27</v>
      </c>
      <c r="E15" s="12" cm="1">
        <f t="array" aca="1" ref="E15" ca="1">D15/OFFSET(INDIRECT(ADDRESS(ROW(), COLUMN())),0,-3)</f>
        <v>0.32372515858642625</v>
      </c>
      <c r="F15" s="45">
        <f t="shared" ref="F15:F19" ca="1" si="3">C15/$Q$2</f>
        <v>0.16295187201311501</v>
      </c>
      <c r="G15" s="48">
        <f t="shared" ref="G15:G23" si="4">SUM(B3:M3)</f>
        <v>346241.20000000007</v>
      </c>
      <c r="H15" s="22">
        <f t="shared" ref="H15:H24" si="5">G15/$R$2</f>
        <v>0.18865616441824673</v>
      </c>
    </row>
    <row r="16" spans="1:18" ht="18.75" x14ac:dyDescent="0.3">
      <c r="A16" s="1" t="str">
        <f t="shared" si="0"/>
        <v>aws-abcd-prod</v>
      </c>
      <c r="B16" s="47">
        <f t="shared" ca="1" si="1"/>
        <v>16875.11</v>
      </c>
      <c r="C16" s="47">
        <f t="shared" ca="1" si="2"/>
        <v>16214.98</v>
      </c>
      <c r="D16" s="9" cm="1">
        <f t="array" aca="1" ref="D16" ca="1">ABS(OFFSET(INDIRECT(ADDRESS(ROW(), COLUMN())),0,-1)-OFFSET(INDIRECT(ADDRESS(ROW(), COLUMN())),0,-2))</f>
        <v>660.13000000000102</v>
      </c>
      <c r="E16" s="12" cm="1">
        <f t="array" aca="1" ref="E16" ca="1">D16/OFFSET(INDIRECT(ADDRESS(ROW(), COLUMN())),0,-3)</f>
        <v>3.9118559819758272E-2</v>
      </c>
      <c r="F16" s="45">
        <f t="shared" ca="1" si="3"/>
        <v>0.13076772888796162</v>
      </c>
      <c r="G16" s="48">
        <f t="shared" si="4"/>
        <v>150373.33000000002</v>
      </c>
      <c r="H16" s="22">
        <f t="shared" si="5"/>
        <v>8.1933795483031105E-2</v>
      </c>
    </row>
    <row r="17" spans="1:8" ht="18.75" x14ac:dyDescent="0.3">
      <c r="A17" s="1" t="str">
        <f t="shared" si="0"/>
        <v>The Cleaning Authority - Production</v>
      </c>
      <c r="B17" s="47">
        <f t="shared" ca="1" si="1"/>
        <v>12097.7</v>
      </c>
      <c r="C17" s="47">
        <f t="shared" ca="1" si="2"/>
        <v>12079.75</v>
      </c>
      <c r="D17" s="9" cm="1">
        <f t="array" aca="1" ref="D17" ca="1">ABS(OFFSET(INDIRECT(ADDRESS(ROW(), COLUMN())),0,-1)-OFFSET(INDIRECT(ADDRESS(ROW(), COLUMN())),0,-2))</f>
        <v>17.950000000000728</v>
      </c>
      <c r="E17" s="12" cm="1">
        <f t="array" aca="1" ref="E17" ca="1">D17/OFFSET(INDIRECT(ADDRESS(ROW(), COLUMN())),0,-3)</f>
        <v>1.4837531100953675E-3</v>
      </c>
      <c r="F17" s="45">
        <f t="shared" ca="1" si="3"/>
        <v>9.7418650718924998E-2</v>
      </c>
      <c r="G17" s="48">
        <f t="shared" si="4"/>
        <v>151704.9</v>
      </c>
      <c r="H17" s="22">
        <f t="shared" si="5"/>
        <v>8.2659326958934035E-2</v>
      </c>
    </row>
    <row r="18" spans="1:8" ht="18.75" x14ac:dyDescent="0.3">
      <c r="A18" s="1" t="str">
        <f t="shared" si="0"/>
        <v>aws-backups</v>
      </c>
      <c r="B18" s="47">
        <f t="shared" ca="1" si="1"/>
        <v>10091.540000000001</v>
      </c>
      <c r="C18" s="47">
        <f t="shared" ca="1" si="2"/>
        <v>9964.11</v>
      </c>
      <c r="D18" s="9" cm="1">
        <f t="array" aca="1" ref="D18" ca="1">ABS(OFFSET(INDIRECT(ADDRESS(ROW(), COLUMN())),0,-1)-OFFSET(INDIRECT(ADDRESS(ROW(), COLUMN())),0,-2))</f>
        <v>127.43000000000029</v>
      </c>
      <c r="E18" s="12" cm="1">
        <f t="array" aca="1" ref="E18" ca="1">D18/OFFSET(INDIRECT(ADDRESS(ROW(), COLUMN())),0,-3)</f>
        <v>1.2627408700753332E-2</v>
      </c>
      <c r="F18" s="45">
        <f t="shared" ca="1" si="3"/>
        <v>8.0356808031204943E-2</v>
      </c>
      <c r="G18" s="48">
        <f t="shared" si="4"/>
        <v>123615.96</v>
      </c>
      <c r="H18" s="22">
        <f t="shared" si="5"/>
        <v>6.7354528792296836E-2</v>
      </c>
    </row>
    <row r="19" spans="1:8" ht="18.75" x14ac:dyDescent="0.3">
      <c r="A19" s="1" t="str">
        <f t="shared" si="0"/>
        <v>Log archive</v>
      </c>
      <c r="B19" s="47">
        <f t="shared" ca="1" si="1"/>
        <v>6071.59</v>
      </c>
      <c r="C19" s="47">
        <f t="shared" ca="1" si="2"/>
        <v>6519.98</v>
      </c>
      <c r="D19" s="9" cm="1">
        <f t="array" aca="1" ref="D19" ca="1">ABS(OFFSET(INDIRECT(ADDRESS(ROW(), COLUMN())),0,-1)-OFFSET(INDIRECT(ADDRESS(ROW(), COLUMN())),0,-2))</f>
        <v>448.38999999999942</v>
      </c>
      <c r="E19" s="12" cm="1">
        <f t="array" aca="1" ref="E19" ca="1">D19/OFFSET(INDIRECT(ADDRESS(ROW(), COLUMN())),0,-3)</f>
        <v>7.3850507033577595E-2</v>
      </c>
      <c r="F19" s="45">
        <f t="shared" ca="1" si="3"/>
        <v>5.2581192020892537E-2</v>
      </c>
      <c r="G19" s="48">
        <f t="shared" si="4"/>
        <v>73209.149999999994</v>
      </c>
      <c r="H19" s="22">
        <f t="shared" si="5"/>
        <v>3.9889410732518497E-2</v>
      </c>
    </row>
    <row r="20" spans="1:8" ht="18.75" x14ac:dyDescent="0.3">
      <c r="A20" s="1" t="str">
        <f t="shared" si="0"/>
        <v>aws-dw-dev</v>
      </c>
      <c r="B20" s="47">
        <f t="shared" ca="1" si="1"/>
        <v>5813.65</v>
      </c>
      <c r="C20" s="47">
        <f t="shared" ca="1" si="2"/>
        <v>5732.81</v>
      </c>
      <c r="D20" s="9" cm="1">
        <f t="array" aca="1" ref="D20" ca="1">ABS(OFFSET(INDIRECT(ADDRESS(ROW(), COLUMN())),0,-1)-OFFSET(INDIRECT(ADDRESS(ROW(), COLUMN())),0,-2))</f>
        <v>80.839999999999236</v>
      </c>
      <c r="E20" s="12" cm="1">
        <f t="array" aca="1" ref="E20" ca="1">D20/OFFSET(INDIRECT(ADDRESS(ROW(), COLUMN())),0,-3)</f>
        <v>1.3905205851745331E-2</v>
      </c>
      <c r="F20" s="45">
        <f t="shared" ref="F20:F23" ca="1" si="6">C20/$Q$2</f>
        <v>4.6232961363269973E-2</v>
      </c>
      <c r="G20" s="48">
        <f t="shared" si="4"/>
        <v>56115.93</v>
      </c>
      <c r="H20" s="22">
        <f t="shared" si="5"/>
        <v>3.0575841686554986E-2</v>
      </c>
    </row>
    <row r="21" spans="1:8" ht="18.75" x14ac:dyDescent="0.3">
      <c r="A21" s="1" t="str">
        <f t="shared" si="0"/>
        <v>aws-dw-qa</v>
      </c>
      <c r="B21" s="47">
        <f t="shared" ca="1" si="1"/>
        <v>4907.17</v>
      </c>
      <c r="C21" s="47">
        <f t="shared" ca="1" si="2"/>
        <v>4834.12</v>
      </c>
      <c r="D21" s="9" cm="1">
        <f t="array" aca="1" ref="D21" ca="1">ABS(OFFSET(INDIRECT(ADDRESS(ROW(), COLUMN())),0,-1)-OFFSET(INDIRECT(ADDRESS(ROW(), COLUMN())),0,-2))</f>
        <v>73.050000000000182</v>
      </c>
      <c r="E21" s="12" cm="1">
        <f t="array" aca="1" ref="E21" ca="1">D21/OFFSET(INDIRECT(ADDRESS(ROW(), COLUMN())),0,-3)</f>
        <v>1.4886380541126593E-2</v>
      </c>
      <c r="F21" s="45">
        <f t="shared" ca="1" si="6"/>
        <v>3.8985363754495725E-2</v>
      </c>
      <c r="G21" s="48">
        <f t="shared" si="4"/>
        <v>51400.79</v>
      </c>
      <c r="H21" s="22">
        <f t="shared" si="5"/>
        <v>2.8006707143655264E-2</v>
      </c>
    </row>
    <row r="22" spans="1:8" ht="18.75" x14ac:dyDescent="0.3">
      <c r="A22" s="1" t="str">
        <f t="shared" si="0"/>
        <v>Audit</v>
      </c>
      <c r="B22" s="47">
        <f t="shared" ca="1" si="1"/>
        <v>4398.57</v>
      </c>
      <c r="C22" s="47">
        <f t="shared" ca="1" si="2"/>
        <v>4285.33</v>
      </c>
      <c r="D22" s="9" cm="1">
        <f t="array" aca="1" ref="D22" ca="1">ABS(OFFSET(INDIRECT(ADDRESS(ROW(), COLUMN())),0,-1)-OFFSET(INDIRECT(ADDRESS(ROW(), COLUMN())),0,-2))</f>
        <v>113.23999999999978</v>
      </c>
      <c r="E22" s="12" cm="1">
        <f t="array" aca="1" ref="E22" ca="1">D22/OFFSET(INDIRECT(ADDRESS(ROW(), COLUMN())),0,-3)</f>
        <v>2.5744730673832584E-2</v>
      </c>
      <c r="F22" s="45">
        <f t="shared" ca="1" si="6"/>
        <v>3.4559578342708328E-2</v>
      </c>
      <c r="G22" s="48">
        <f t="shared" si="4"/>
        <v>50257.19</v>
      </c>
      <c r="H22" s="22">
        <f t="shared" si="5"/>
        <v>2.7383594730607055E-2</v>
      </c>
    </row>
    <row r="23" spans="1:8" ht="18.75" x14ac:dyDescent="0.3">
      <c r="A23" s="1" t="str">
        <f t="shared" si="0"/>
        <v>aws-doody-prod</v>
      </c>
      <c r="B23" s="47">
        <f t="shared" ca="1" si="1"/>
        <v>4270.66</v>
      </c>
      <c r="C23" s="47">
        <f t="shared" ca="1" si="2"/>
        <v>4143.25</v>
      </c>
      <c r="D23" s="9" cm="1">
        <f t="array" aca="1" ref="D23" ca="1">ABS(OFFSET(INDIRECT(ADDRESS(ROW(), COLUMN())),0,-1)-OFFSET(INDIRECT(ADDRESS(ROW(), COLUMN())),0,-2))</f>
        <v>127.40999999999985</v>
      </c>
      <c r="E23" s="12" cm="1">
        <f t="array" aca="1" ref="E23" ca="1">D23/OFFSET(INDIRECT(ADDRESS(ROW(), COLUMN())),0,-3)</f>
        <v>2.983379618138645E-2</v>
      </c>
      <c r="F23" s="45">
        <f t="shared" ca="1" si="6"/>
        <v>3.3413756459461992E-2</v>
      </c>
      <c r="G23" s="48">
        <f t="shared" si="4"/>
        <v>48829.58</v>
      </c>
      <c r="H23" s="23">
        <f t="shared" si="5"/>
        <v>2.6605734017078067E-2</v>
      </c>
    </row>
    <row r="24" spans="1:8" ht="18.75" x14ac:dyDescent="0.3">
      <c r="A24" s="3" t="s">
        <v>19</v>
      </c>
      <c r="B24" s="6">
        <f ca="1">SUM(B14:B23)</f>
        <v>113651.45999999999</v>
      </c>
      <c r="C24" s="30">
        <f ca="1">SUM(C14:C23)</f>
        <v>104463.07999999999</v>
      </c>
      <c r="D24" s="35">
        <f t="shared" ref="D24" ca="1" si="7">ABS(C24-B24)</f>
        <v>9188.3800000000047</v>
      </c>
      <c r="E24" s="36">
        <f t="shared" ref="E24" ca="1" si="8">D24/B24</f>
        <v>8.0847003637260842E-2</v>
      </c>
      <c r="F24" s="37">
        <f t="shared" ref="F24" ca="1" si="9">C24/$Q$2</f>
        <v>0.84245553952218544</v>
      </c>
      <c r="G24" s="38">
        <f>SUM(G14:G23)</f>
        <v>1283292.54</v>
      </c>
      <c r="H24" s="39">
        <f t="shared" si="5"/>
        <v>0.69922657506659924</v>
      </c>
    </row>
    <row r="26" spans="1:8" ht="18.75" x14ac:dyDescent="0.3">
      <c r="A26" s="4" t="s">
        <v>0</v>
      </c>
      <c r="B26" s="4" t="str">
        <f ca="1">OFFSET(N1,0,-2)</f>
        <v>Oct</v>
      </c>
      <c r="C26" s="4" t="str">
        <f ca="1">OFFSET(N1,0,-1)</f>
        <v>Nov</v>
      </c>
      <c r="D26" s="8" t="s">
        <v>2</v>
      </c>
      <c r="E26" s="18" t="s">
        <v>26</v>
      </c>
    </row>
    <row r="27" spans="1:8" ht="18.75" x14ac:dyDescent="0.3">
      <c r="A27" s="1" t="str">
        <f t="shared" ref="A27:A36" si="10">A14</f>
        <v>aws-ss-prod</v>
      </c>
      <c r="B27" s="51">
        <f ca="1">OFFSET(N2,0,-2)/DAY(EOMONTH(DATE(YEAR(TODAY()),MONTH(DATEVALUE("1"&amp;$B$26)),1),0))</f>
        <v>620.88516129032257</v>
      </c>
      <c r="C27" s="51">
        <f ca="1">OFFSET(O2,0,-2)/DAY(EOMONTH(DATE(YEAR(TODAY()),MONTH(DATEVALUE("1"&amp;$C$26)),1),0))</f>
        <v>682.76633333333336</v>
      </c>
      <c r="D27" s="9">
        <f t="shared" ref="D27:D37" ca="1" si="11">ABS(C27-B27)</f>
        <v>61.881172043010793</v>
      </c>
      <c r="E27" s="12">
        <f t="shared" ref="E27:E37" ca="1" si="12">D27/B27</f>
        <v>9.9666050827192321E-2</v>
      </c>
    </row>
    <row r="28" spans="1:8" ht="18.75" x14ac:dyDescent="0.3">
      <c r="A28" s="1" t="str">
        <f t="shared" si="10"/>
        <v>Authority Brands</v>
      </c>
      <c r="B28" s="51">
        <f t="shared" ref="B28:B36" ca="1" si="13">OFFSET(N3,0,-2)/DAY(EOMONTH(DATE(YEAR(TODAY()),MONTH(DATEVALUE("1"&amp;$B$26)),1),0))</f>
        <v>963.80741935483866</v>
      </c>
      <c r="C28" s="51">
        <f t="shared" ref="C28:C36" ca="1" si="14">OFFSET(O3,0,-2)/DAY(EOMONTH(DATE(YEAR(TODAY()),MONTH(DATEVALUE("1"&amp;$C$26)),1),0))</f>
        <v>673.52533333333326</v>
      </c>
      <c r="D28" s="9">
        <f t="shared" ca="1" si="11"/>
        <v>290.28208602150539</v>
      </c>
      <c r="E28" s="12">
        <f t="shared" ca="1" si="12"/>
        <v>0.30118266387264048</v>
      </c>
    </row>
    <row r="29" spans="1:8" ht="18.75" x14ac:dyDescent="0.3">
      <c r="A29" s="1" t="str">
        <f t="shared" si="10"/>
        <v>aws-abcd-prod</v>
      </c>
      <c r="B29" s="51">
        <f t="shared" ca="1" si="13"/>
        <v>544.35838709677421</v>
      </c>
      <c r="C29" s="51">
        <f t="shared" ca="1" si="14"/>
        <v>540.49933333333331</v>
      </c>
      <c r="D29" s="9">
        <f t="shared" ca="1" si="11"/>
        <v>3.8590537634408975</v>
      </c>
      <c r="E29" s="12">
        <f t="shared" ca="1" si="12"/>
        <v>7.0891784804168875E-3</v>
      </c>
    </row>
    <row r="30" spans="1:8" ht="18.75" x14ac:dyDescent="0.3">
      <c r="A30" s="1" t="str">
        <f t="shared" si="10"/>
        <v>The Cleaning Authority - Production</v>
      </c>
      <c r="B30" s="51">
        <f t="shared" ca="1" si="13"/>
        <v>390.2483870967742</v>
      </c>
      <c r="C30" s="51">
        <f t="shared" ca="1" si="14"/>
        <v>402.65833333333336</v>
      </c>
      <c r="D30" s="9">
        <f t="shared" ca="1" si="11"/>
        <v>12.409946236559165</v>
      </c>
      <c r="E30" s="12">
        <f t="shared" ca="1" si="12"/>
        <v>3.1800121786234911E-2</v>
      </c>
    </row>
    <row r="31" spans="1:8" ht="18.75" x14ac:dyDescent="0.3">
      <c r="A31" s="1" t="str">
        <f t="shared" si="10"/>
        <v>aws-backups</v>
      </c>
      <c r="B31" s="51">
        <f t="shared" ca="1" si="13"/>
        <v>325.5335483870968</v>
      </c>
      <c r="C31" s="51">
        <f t="shared" ca="1" si="14"/>
        <v>332.137</v>
      </c>
      <c r="D31" s="9">
        <f t="shared" ca="1" si="11"/>
        <v>6.6034516129031999</v>
      </c>
      <c r="E31" s="12">
        <f t="shared" ca="1" si="12"/>
        <v>2.0285011009221504E-2</v>
      </c>
    </row>
    <row r="32" spans="1:8" ht="18.75" x14ac:dyDescent="0.3">
      <c r="A32" s="1" t="str">
        <f t="shared" si="10"/>
        <v>Log archive</v>
      </c>
      <c r="B32" s="51">
        <f t="shared" ca="1" si="13"/>
        <v>195.85774193548389</v>
      </c>
      <c r="C32" s="51">
        <f t="shared" ca="1" si="14"/>
        <v>217.33266666666665</v>
      </c>
      <c r="D32" s="9">
        <f t="shared" ca="1" si="11"/>
        <v>21.474924731182767</v>
      </c>
      <c r="E32" s="12">
        <f t="shared" ca="1" si="12"/>
        <v>0.1096455239346968</v>
      </c>
    </row>
    <row r="33" spans="1:5" ht="18.75" x14ac:dyDescent="0.3">
      <c r="A33" s="1" t="str">
        <f t="shared" si="10"/>
        <v>aws-dw-dev</v>
      </c>
      <c r="B33" s="51">
        <f t="shared" ca="1" si="13"/>
        <v>187.53709677419354</v>
      </c>
      <c r="C33" s="51">
        <f t="shared" ca="1" si="14"/>
        <v>191.09366666666668</v>
      </c>
      <c r="D33" s="9">
        <f t="shared" ca="1" si="11"/>
        <v>3.556569892473135</v>
      </c>
      <c r="E33" s="12">
        <f t="shared" ca="1" si="12"/>
        <v>1.8964620619863114E-2</v>
      </c>
    </row>
    <row r="34" spans="1:5" ht="18.75" x14ac:dyDescent="0.3">
      <c r="A34" s="1" t="str">
        <f t="shared" si="10"/>
        <v>aws-dw-qa</v>
      </c>
      <c r="B34" s="51">
        <f t="shared" ca="1" si="13"/>
        <v>158.29580645161292</v>
      </c>
      <c r="C34" s="51">
        <f t="shared" ca="1" si="14"/>
        <v>161.13733333333332</v>
      </c>
      <c r="D34" s="9">
        <f t="shared" ca="1" si="11"/>
        <v>2.841526881720398</v>
      </c>
      <c r="E34" s="12">
        <f t="shared" ca="1" si="12"/>
        <v>1.7950740107502354E-2</v>
      </c>
    </row>
    <row r="35" spans="1:5" ht="18.75" x14ac:dyDescent="0.3">
      <c r="A35" s="1" t="str">
        <f t="shared" si="10"/>
        <v>Audit</v>
      </c>
      <c r="B35" s="51">
        <f t="shared" ca="1" si="13"/>
        <v>141.88935483870966</v>
      </c>
      <c r="C35" s="51">
        <f t="shared" ca="1" si="14"/>
        <v>142.84433333333334</v>
      </c>
      <c r="D35" s="9">
        <f t="shared" ca="1" si="11"/>
        <v>0.95497849462367412</v>
      </c>
      <c r="E35" s="12">
        <f t="shared" ca="1" si="12"/>
        <v>6.7304449703730757E-3</v>
      </c>
    </row>
    <row r="36" spans="1:5" ht="18.75" x14ac:dyDescent="0.3">
      <c r="A36" s="1" t="str">
        <f t="shared" si="10"/>
        <v>aws-doody-prod</v>
      </c>
      <c r="B36" s="51">
        <f t="shared" ca="1" si="13"/>
        <v>137.7632258064516</v>
      </c>
      <c r="C36" s="51">
        <f t="shared" ca="1" si="14"/>
        <v>138.10833333333332</v>
      </c>
      <c r="D36" s="9">
        <f t="shared" ca="1" si="11"/>
        <v>0.3451075268817192</v>
      </c>
      <c r="E36" s="12">
        <f t="shared" ca="1" si="12"/>
        <v>2.5050772792339581E-3</v>
      </c>
    </row>
    <row r="37" spans="1:5" ht="18.75" x14ac:dyDescent="0.3">
      <c r="A37" s="3" t="s">
        <v>19</v>
      </c>
      <c r="B37" s="30">
        <f ca="1">SUM(B27:B36)</f>
        <v>3666.1761290322574</v>
      </c>
      <c r="C37" s="31">
        <f ca="1">SUM(C27:C36)</f>
        <v>3482.1026666666662</v>
      </c>
      <c r="D37" s="28">
        <f t="shared" ca="1" si="11"/>
        <v>184.07346236559124</v>
      </c>
      <c r="E37" s="29">
        <f t="shared" ca="1" si="12"/>
        <v>5.0208570425169456E-2</v>
      </c>
    </row>
  </sheetData>
  <conditionalFormatting sqref="D14:D23">
    <cfRule type="expression" dxfId="11" priority="3">
      <formula>OFFSET(INDIRECT(ADDRESS(ROW(), COLUMN())),0,-1)&gt;OFFSET(INDIRECT(ADDRESS(ROW(), COLUMN())),0,-2)</formula>
    </cfRule>
    <cfRule type="expression" dxfId="10" priority="4">
      <formula>OFFSET(INDIRECT(ADDRESS(ROW(), COLUMN())),0,-1)&lt;OFFSET(INDIRECT(ADDRESS(ROW(), COLUMN())),0,-2)</formula>
    </cfRule>
  </conditionalFormatting>
  <conditionalFormatting sqref="D24:E24">
    <cfRule type="expression" dxfId="9" priority="11">
      <formula>$C24&gt;$B24</formula>
    </cfRule>
    <cfRule type="expression" dxfId="8" priority="12">
      <formula>$C24&lt;$B24</formula>
    </cfRule>
  </conditionalFormatting>
  <conditionalFormatting sqref="D27:E37">
    <cfRule type="expression" dxfId="7" priority="1">
      <formula>$C27&gt;$B27</formula>
    </cfRule>
    <cfRule type="expression" dxfId="6" priority="2">
      <formula>$C27&lt;$B27</formula>
    </cfRule>
  </conditionalFormatting>
  <conditionalFormatting sqref="E14:E23">
    <cfRule type="expression" dxfId="5" priority="5">
      <formula>OFFSET(INDIRECT(ADDRESS(ROW(), COLUMN())),0,-2)&gt;OFFSET(INDIRECT(ADDRESS(ROW(), COLUMN())),0,-3)</formula>
    </cfRule>
    <cfRule type="expression" dxfId="4" priority="6">
      <formula>OFFSET(INDIRECT(ADDRESS(ROW(), COLUMN())),0,-2)&lt;OFFSET(INDIRECT(ADDRESS(ROW(), COLUMN())),0,-3)</formula>
    </cfRule>
  </conditionalFormatting>
  <conditionalFormatting sqref="N2:N11">
    <cfRule type="expression" dxfId="3" priority="7">
      <formula>OFFSET(INDIRECT(ADDRESS(ROW(), COLUMN())),0,-1)&gt;OFFSET(INDIRECT(ADDRESS(ROW(), COLUMN())),0,-2)</formula>
    </cfRule>
    <cfRule type="expression" dxfId="2" priority="8">
      <formula>OFFSET(INDIRECT(ADDRESS(ROW(), COLUMN())),0,-1)&lt;OFFSET(INDIRECT(ADDRESS(ROW(), COLUMN())),0,-2)</formula>
    </cfRule>
  </conditionalFormatting>
  <conditionalFormatting sqref="O2:O11">
    <cfRule type="expression" dxfId="1" priority="9">
      <formula>OFFSET(INDIRECT(ADDRESS(ROW(), COLUMN())),0,-2)&gt;OFFSET(INDIRECT(ADDRESS(ROW(), COLUMN())),0,-3)</formula>
    </cfRule>
    <cfRule type="expression" dxfId="0" priority="10">
      <formula>OFFSET(INDIRECT(ADDRESS(ROW(), COLUMN())),0,-2)&lt;OFFSET(INDIRECT(ADDRESS(ROW(), COLUMN())),0,-3)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A2C0F-A8E3-4A29-BA79-C10C534F5346}">
  <dimension ref="A1:M12"/>
  <sheetViews>
    <sheetView workbookViewId="0">
      <selection activeCell="F33" sqref="F33"/>
    </sheetView>
  </sheetViews>
  <sheetFormatPr defaultRowHeight="15" x14ac:dyDescent="0.25"/>
  <cols>
    <col min="1" max="1" width="32.5703125" bestFit="1" customWidth="1"/>
    <col min="2" max="13" width="10" bestFit="1" customWidth="1"/>
    <col min="14" max="14" width="11.42578125" customWidth="1"/>
    <col min="15" max="15" width="5.140625" bestFit="1" customWidth="1"/>
  </cols>
  <sheetData>
    <row r="1" spans="1:13" x14ac:dyDescent="0.25">
      <c r="A1" t="s">
        <v>0</v>
      </c>
      <c r="B1" t="s">
        <v>43</v>
      </c>
      <c r="C1" t="s">
        <v>3</v>
      </c>
      <c r="D1" t="s">
        <v>4</v>
      </c>
      <c r="E1" t="s">
        <v>5</v>
      </c>
      <c r="F1" t="s">
        <v>6</v>
      </c>
      <c r="G1" t="s">
        <v>1</v>
      </c>
      <c r="H1" t="s">
        <v>7</v>
      </c>
      <c r="I1" t="s">
        <v>8</v>
      </c>
      <c r="J1" t="s">
        <v>9</v>
      </c>
      <c r="K1" t="s">
        <v>37</v>
      </c>
      <c r="L1" t="s">
        <v>38</v>
      </c>
      <c r="M1" t="s">
        <v>41</v>
      </c>
    </row>
    <row r="2" spans="1:13" x14ac:dyDescent="0.25">
      <c r="A2" t="s">
        <v>30</v>
      </c>
      <c r="B2">
        <v>23610.75</v>
      </c>
      <c r="C2">
        <v>20345.2</v>
      </c>
      <c r="D2">
        <v>18585.54</v>
      </c>
      <c r="E2">
        <v>20790.07</v>
      </c>
      <c r="F2">
        <v>18360.12</v>
      </c>
      <c r="G2">
        <v>17906.16</v>
      </c>
      <c r="H2">
        <v>17248.88</v>
      </c>
      <c r="I2">
        <v>18583.810000000001</v>
      </c>
      <c r="J2">
        <v>18484.55</v>
      </c>
      <c r="K2">
        <v>17899</v>
      </c>
      <c r="L2">
        <v>19247.439999999999</v>
      </c>
      <c r="M2">
        <v>20482.990000000002</v>
      </c>
    </row>
    <row r="3" spans="1:13" x14ac:dyDescent="0.25">
      <c r="A3" t="s">
        <v>31</v>
      </c>
      <c r="B3">
        <v>15908.59</v>
      </c>
      <c r="C3">
        <v>35232.49</v>
      </c>
      <c r="D3">
        <v>32527.42</v>
      </c>
      <c r="E3">
        <v>35901.07</v>
      </c>
      <c r="F3">
        <v>29849.41</v>
      </c>
      <c r="G3">
        <v>29103.98</v>
      </c>
      <c r="H3">
        <v>28370.57</v>
      </c>
      <c r="I3">
        <v>29985.5</v>
      </c>
      <c r="J3">
        <v>29992.71</v>
      </c>
      <c r="K3">
        <v>29285.67</v>
      </c>
      <c r="L3">
        <v>29878.03</v>
      </c>
      <c r="M3">
        <v>20205.759999999998</v>
      </c>
    </row>
    <row r="4" spans="1:13" x14ac:dyDescent="0.25">
      <c r="A4" t="s">
        <v>33</v>
      </c>
      <c r="B4">
        <v>13009.67</v>
      </c>
      <c r="C4">
        <v>10944.6</v>
      </c>
      <c r="D4">
        <v>13019.92</v>
      </c>
      <c r="E4">
        <v>12730.94</v>
      </c>
      <c r="F4">
        <v>9638.4699999999993</v>
      </c>
      <c r="G4">
        <v>10119.02</v>
      </c>
      <c r="H4">
        <v>11121.4</v>
      </c>
      <c r="I4">
        <v>11257.74</v>
      </c>
      <c r="J4">
        <v>12467.47</v>
      </c>
      <c r="K4">
        <v>12974.01</v>
      </c>
      <c r="L4">
        <v>16875.11</v>
      </c>
      <c r="M4">
        <v>16214.98</v>
      </c>
    </row>
    <row r="5" spans="1:13" x14ac:dyDescent="0.25">
      <c r="A5" t="s">
        <v>32</v>
      </c>
      <c r="B5">
        <v>15887.82</v>
      </c>
      <c r="C5">
        <v>13439.86</v>
      </c>
      <c r="D5">
        <v>13119.99</v>
      </c>
      <c r="E5">
        <v>13910.7</v>
      </c>
      <c r="F5">
        <v>12025.92</v>
      </c>
      <c r="G5">
        <v>11611.08</v>
      </c>
      <c r="H5">
        <v>11554.95</v>
      </c>
      <c r="I5">
        <v>12003.17</v>
      </c>
      <c r="J5">
        <v>11964.01</v>
      </c>
      <c r="K5">
        <v>12009.95</v>
      </c>
      <c r="L5">
        <v>12097.7</v>
      </c>
      <c r="M5">
        <v>12079.75</v>
      </c>
    </row>
    <row r="6" spans="1:13" x14ac:dyDescent="0.25">
      <c r="A6" t="s">
        <v>34</v>
      </c>
      <c r="B6">
        <v>11168.82</v>
      </c>
      <c r="C6">
        <v>10272.82</v>
      </c>
      <c r="D6">
        <v>10279.620000000001</v>
      </c>
      <c r="E6">
        <v>10226.200000000001</v>
      </c>
      <c r="F6">
        <v>10160.620000000001</v>
      </c>
      <c r="G6">
        <v>10177.93</v>
      </c>
      <c r="H6">
        <v>10220.69</v>
      </c>
      <c r="I6">
        <v>10604.61</v>
      </c>
      <c r="J6">
        <v>10353.58</v>
      </c>
      <c r="K6">
        <v>10095.42</v>
      </c>
      <c r="L6">
        <v>10091.540000000001</v>
      </c>
      <c r="M6">
        <v>9964.11</v>
      </c>
    </row>
    <row r="7" spans="1:13" x14ac:dyDescent="0.25">
      <c r="A7" t="s">
        <v>35</v>
      </c>
      <c r="B7">
        <v>7602.99</v>
      </c>
      <c r="C7">
        <v>6504.02</v>
      </c>
      <c r="D7">
        <v>5998.66</v>
      </c>
      <c r="E7">
        <v>6370.85</v>
      </c>
      <c r="F7">
        <v>5683.6</v>
      </c>
      <c r="G7">
        <v>5629.73</v>
      </c>
      <c r="H7">
        <v>5544.55</v>
      </c>
      <c r="I7">
        <v>5797.15</v>
      </c>
      <c r="J7">
        <v>5788.67</v>
      </c>
      <c r="K7">
        <v>5697.36</v>
      </c>
      <c r="L7">
        <v>6071.59</v>
      </c>
      <c r="M7">
        <v>6519.98</v>
      </c>
    </row>
    <row r="8" spans="1:13" x14ac:dyDescent="0.25">
      <c r="A8" t="s">
        <v>50</v>
      </c>
      <c r="B8">
        <v>3856.97</v>
      </c>
      <c r="C8">
        <v>3404.68</v>
      </c>
      <c r="D8">
        <v>3143.52</v>
      </c>
      <c r="E8">
        <v>4063.68</v>
      </c>
      <c r="F8">
        <v>4622.6400000000003</v>
      </c>
      <c r="G8">
        <v>4682.5</v>
      </c>
      <c r="H8">
        <v>4555.37</v>
      </c>
      <c r="I8">
        <v>5432.7</v>
      </c>
      <c r="J8">
        <v>5543.76</v>
      </c>
      <c r="K8">
        <v>5263.65</v>
      </c>
      <c r="L8">
        <v>5813.65</v>
      </c>
      <c r="M8">
        <v>5732.81</v>
      </c>
    </row>
    <row r="9" spans="1:13" x14ac:dyDescent="0.25">
      <c r="A9" t="s">
        <v>52</v>
      </c>
      <c r="B9">
        <v>3843.09</v>
      </c>
      <c r="C9">
        <v>3666.31</v>
      </c>
      <c r="D9">
        <v>3360.56</v>
      </c>
      <c r="E9">
        <v>3960.83</v>
      </c>
      <c r="F9">
        <v>4163.24</v>
      </c>
      <c r="G9">
        <v>4466.91</v>
      </c>
      <c r="H9">
        <v>4103.5200000000004</v>
      </c>
      <c r="I9">
        <v>4581.24</v>
      </c>
      <c r="J9">
        <v>4803.03</v>
      </c>
      <c r="K9">
        <v>4710.7700000000004</v>
      </c>
      <c r="L9">
        <v>4907.17</v>
      </c>
      <c r="M9">
        <v>4834.12</v>
      </c>
    </row>
    <row r="10" spans="1:13" x14ac:dyDescent="0.25">
      <c r="A10" t="s">
        <v>54</v>
      </c>
      <c r="B10">
        <v>5923.66</v>
      </c>
      <c r="C10">
        <v>4566.45</v>
      </c>
      <c r="D10">
        <v>3445.4</v>
      </c>
      <c r="E10">
        <v>4296.88</v>
      </c>
      <c r="F10">
        <v>3734.06</v>
      </c>
      <c r="G10">
        <v>3680.22</v>
      </c>
      <c r="H10">
        <v>3441.54</v>
      </c>
      <c r="I10">
        <v>4061.61</v>
      </c>
      <c r="J10">
        <v>4217.42</v>
      </c>
      <c r="K10">
        <v>4206.05</v>
      </c>
      <c r="L10">
        <v>4398.57</v>
      </c>
      <c r="M10">
        <v>4285.33</v>
      </c>
    </row>
    <row r="11" spans="1:13" x14ac:dyDescent="0.25">
      <c r="A11" t="s">
        <v>49</v>
      </c>
      <c r="B11">
        <v>3644.3</v>
      </c>
      <c r="C11">
        <v>3986.04</v>
      </c>
      <c r="D11">
        <v>3758.22</v>
      </c>
      <c r="E11">
        <v>4158.6899999999996</v>
      </c>
      <c r="F11">
        <v>4003.1</v>
      </c>
      <c r="G11">
        <v>4134.68</v>
      </c>
      <c r="H11">
        <v>4013.61</v>
      </c>
      <c r="I11">
        <v>4299.3599999999997</v>
      </c>
      <c r="J11">
        <v>4274.3599999999997</v>
      </c>
      <c r="K11">
        <v>4143.3100000000004</v>
      </c>
      <c r="L11">
        <v>4270.66</v>
      </c>
      <c r="M11">
        <v>4143.25</v>
      </c>
    </row>
    <row r="12" spans="1:13" x14ac:dyDescent="0.25">
      <c r="A12" t="s">
        <v>18</v>
      </c>
      <c r="B12">
        <v>104456.66</v>
      </c>
      <c r="C12">
        <v>112362.47</v>
      </c>
      <c r="D12">
        <v>107238.85</v>
      </c>
      <c r="E12">
        <v>116409.91</v>
      </c>
      <c r="F12">
        <v>102241.18</v>
      </c>
      <c r="G12">
        <v>101512.21</v>
      </c>
      <c r="H12">
        <v>100175.08</v>
      </c>
      <c r="I12">
        <v>106606.89</v>
      </c>
      <c r="J12">
        <v>107889.56</v>
      </c>
      <c r="K12">
        <v>106285.19</v>
      </c>
      <c r="L12">
        <v>113651.46</v>
      </c>
      <c r="M12">
        <v>104463.08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4BB389-30DD-4F20-BD29-AFA4B62865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Savings &amp; RIs</vt:lpstr>
      <vt:lpstr>Sheet4</vt:lpstr>
      <vt:lpstr>Sheet1</vt:lpstr>
      <vt:lpstr>aws-spend</vt:lpstr>
      <vt:lpstr>Sheet2</vt:lpstr>
      <vt:lpstr>aws-spend-top-services</vt:lpstr>
      <vt:lpstr>Sheet3</vt:lpstr>
      <vt:lpstr>aws-spend-top-accounts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Bowman</dc:creator>
  <cp:lastModifiedBy>Ryan Bowman</cp:lastModifiedBy>
  <dcterms:created xsi:type="dcterms:W3CDTF">2024-09-05T17:58:43Z</dcterms:created>
  <dcterms:modified xsi:type="dcterms:W3CDTF">2026-01-02T18:07:17Z</dcterms:modified>
</cp:coreProperties>
</file>